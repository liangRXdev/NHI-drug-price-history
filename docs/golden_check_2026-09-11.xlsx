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iang\projects\NHI-drug-price-history\docs\"/>
    </mc:Choice>
  </mc:AlternateContent>
  <xr:revisionPtr revIDLastSave="0" documentId="13_ncr:1_{7545BB8C-744F-41CE-9293-289B0664736A}" xr6:coauthVersionLast="47" xr6:coauthVersionMax="47" xr10:uidLastSave="{00000000-0000-0000-0000-000000000000}"/>
  <bookViews>
    <workbookView xWindow="370" yWindow="360" windowWidth="18830" windowHeight="9720" activeTab="1" xr2:uid="{00000000-000D-0000-FFFF-FFFF00000000}"/>
  </bookViews>
  <sheets>
    <sheet name="代號摘要" sheetId="1" r:id="rId1"/>
    <sheet name="說明" sheetId="2" r:id="rId2"/>
    <sheet name="核對表" sheetId="3" r:id="rId3"/>
  </sheets>
  <definedNames>
    <definedName name="_xlnm._FilterDatabase" localSheetId="2" hidden="1">核對表!$A$1:$M$115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J12" i="1"/>
  <c r="I12" i="1"/>
  <c r="H12" i="1"/>
  <c r="D12" i="1"/>
  <c r="F12" i="1" s="1"/>
  <c r="K11" i="1"/>
  <c r="L11" i="1" s="1"/>
  <c r="J11" i="1"/>
  <c r="I11" i="1"/>
  <c r="H11" i="1"/>
  <c r="D11" i="1"/>
  <c r="F11" i="1" s="1"/>
  <c r="K10" i="1"/>
  <c r="J10" i="1"/>
  <c r="I10" i="1"/>
  <c r="H10" i="1"/>
  <c r="D10" i="1"/>
  <c r="F10" i="1" s="1"/>
  <c r="K9" i="1"/>
  <c r="J9" i="1"/>
  <c r="I9" i="1"/>
  <c r="H9" i="1"/>
  <c r="D9" i="1"/>
  <c r="F9" i="1" s="1"/>
  <c r="K8" i="1"/>
  <c r="J8" i="1"/>
  <c r="I8" i="1"/>
  <c r="H8" i="1"/>
  <c r="D8" i="1"/>
  <c r="F8" i="1" s="1"/>
  <c r="K7" i="1"/>
  <c r="J7" i="1"/>
  <c r="I7" i="1"/>
  <c r="H7" i="1"/>
  <c r="D7" i="1"/>
  <c r="F7" i="1" s="1"/>
  <c r="K6" i="1"/>
  <c r="J6" i="1"/>
  <c r="I6" i="1"/>
  <c r="H6" i="1"/>
  <c r="D6" i="1"/>
  <c r="F6" i="1" s="1"/>
  <c r="K5" i="1"/>
  <c r="J5" i="1"/>
  <c r="I5" i="1"/>
  <c r="H5" i="1"/>
  <c r="D5" i="1"/>
  <c r="F5" i="1" s="1"/>
  <c r="K4" i="1"/>
  <c r="J4" i="1"/>
  <c r="I4" i="1"/>
  <c r="H4" i="1"/>
  <c r="F4" i="1"/>
  <c r="D4" i="1"/>
  <c r="K3" i="1"/>
  <c r="J3" i="1"/>
  <c r="I3" i="1"/>
  <c r="H3" i="1"/>
  <c r="F3" i="1"/>
  <c r="D3" i="1"/>
  <c r="K2" i="1"/>
  <c r="J2" i="1"/>
  <c r="I2" i="1"/>
  <c r="H2" i="1"/>
  <c r="F2" i="1"/>
  <c r="D2" i="1"/>
  <c r="L3" i="1" l="1"/>
  <c r="L4" i="1"/>
  <c r="L5" i="1"/>
  <c r="L8" i="1"/>
  <c r="L6" i="1"/>
  <c r="L7" i="1"/>
  <c r="L12" i="1"/>
  <c r="L10" i="1"/>
  <c r="L9" i="1"/>
  <c r="J13" i="1"/>
  <c r="H13" i="1"/>
  <c r="I13" i="1"/>
  <c r="D13" i="1"/>
  <c r="K13" i="1"/>
  <c r="L2" i="1"/>
</calcChain>
</file>

<file path=xl/sharedStrings.xml><?xml version="1.0" encoding="utf-8"?>
<sst xmlns="http://schemas.openxmlformats.org/spreadsheetml/2006/main" count="1308" uniqueCount="358">
  <si>
    <t>代號</t>
  </si>
  <si>
    <t>驗證情境</t>
  </si>
  <si>
    <t>反例</t>
  </si>
  <si>
    <t>CSV 列數</t>
  </si>
  <si>
    <t>網站列數</t>
  </si>
  <si>
    <t>列數差</t>
  </si>
  <si>
    <t>漏列／多列說明</t>
  </si>
  <si>
    <t>✓ 數</t>
  </si>
  <si>
    <t>✗ 數</t>
  </si>
  <si>
    <t>不可核對數</t>
  </si>
  <si>
    <t>未填數</t>
  </si>
  <si>
    <t>狀態</t>
  </si>
  <si>
    <t>A017014321</t>
  </si>
  <si>
    <t>最長歷史（24 列），含同價續期 94→94</t>
  </si>
  <si>
    <t>AC48092100</t>
  </si>
  <si>
    <t>一般多次降價</t>
  </si>
  <si>
    <t>AC48867100</t>
  </si>
  <si>
    <t>終止後恢復支付（29.80 → 0 → 22.90）</t>
  </si>
  <si>
    <t>是</t>
  </si>
  <si>
    <t>AC48845100</t>
  </si>
  <si>
    <t>現行已終止</t>
  </si>
  <si>
    <t>B009254100</t>
  </si>
  <si>
    <t>有價 → 暫停 → 終止</t>
  </si>
  <si>
    <t>BC23981100</t>
  </si>
  <si>
    <t>現行暫停，含 12 個月空窗</t>
  </si>
  <si>
    <t>A035680329</t>
  </si>
  <si>
    <t>1 個月空窗後終止</t>
  </si>
  <si>
    <t>BC05037209</t>
  </si>
  <si>
    <t>預告終止（2026-10-01）</t>
  </si>
  <si>
    <t>AB47689100</t>
  </si>
  <si>
    <t>預告調價（2026-10-01 → 7.90）</t>
  </si>
  <si>
    <t>BC26467100</t>
  </si>
  <si>
    <t>預告列成分欄損毀；metadata 不得取該列</t>
  </si>
  <si>
    <t>A020296321</t>
  </si>
  <si>
    <t>首列 0 元後首次有價（first_priced）</t>
  </si>
  <si>
    <t>合計</t>
  </si>
  <si>
    <t>健保藥價歷史 golden 代號人工核對表</t>
  </si>
  <si>
    <t>資料來源：健保署「健保用藥品項查詢項目檔」2026-09-11 下載之凍結快照（tests/fixtures/source_snapshot_2026-09-11.csv）</t>
  </si>
  <si>
    <t>目的：以獨立來源（健保署藥品查詢網站）逐列核對本站 ETL 對 11 個代號的判讀是否正確（plan.md D1）。</t>
  </si>
  <si>
    <t>填寫方式</t>
  </si>
  <si>
    <t>1. 只填黃底格子；其他格子為本站輸出，請勿修改。</t>
  </si>
  <si>
    <t>2. 「核對表」每列三個核對欄請填：✓（相符）／✗（不符）／不可核對（網站未提供該資訊）。</t>
  </si>
  <si>
    <t>3. 標「不可核對」的列，請在備註寫明替代核對方式（例：已抽核 CSV 原檔）。</t>
  </si>
  <si>
    <t>4. 「代號摘要」請填網站上看到的列數；與 CSV 列數不同時，請寫明漏列或多列。</t>
  </si>
  <si>
    <t>5. 最下方填寫核對人與核對日期。</t>
  </si>
  <si>
    <t>時限：AB47689100、BC05037209 的預告生效日為 2026-10-01，請於該日前完成（網站可能不再顯示預告狀態）。</t>
  </si>
  <si>
    <t>範例列（格式示意，非實際資料）</t>
  </si>
  <si>
    <t>序</t>
  </si>
  <si>
    <t>有效起日</t>
  </si>
  <si>
    <t>有效迄日</t>
  </si>
  <si>
    <t>CSV 支付價原字串</t>
  </si>
  <si>
    <t>本站判定狀態</t>
  </si>
  <si>
    <t>本站事件</t>
  </si>
  <si>
    <t>前次有價</t>
  </si>
  <si>
    <t>變動 %</t>
  </si>
  <si>
    <t>網站：起迄日相符</t>
  </si>
  <si>
    <t>網站：支付價相符</t>
  </si>
  <si>
    <t>狀態判定同意</t>
  </si>
  <si>
    <t>備註</t>
  </si>
  <si>
    <t>2017-12-01</t>
  </si>
  <si>
    <t>2018-04-30</t>
  </si>
  <si>
    <t>22.90</t>
  </si>
  <si>
    <t>有價</t>
  </si>
  <si>
    <t>恢復支付（跨越停止期間）</t>
  </si>
  <si>
    <t>29.80</t>
  </si>
  <si>
    <t>-23.15</t>
  </si>
  <si>
    <t>✓</t>
  </si>
  <si>
    <t>網站顯示 22.9，與原字串 22.90 數值相符</t>
  </si>
  <si>
    <t>核對人</t>
  </si>
  <si>
    <t>核對日期（YYYY-MM-DD）</t>
  </si>
  <si>
    <t>1997-08-01</t>
  </si>
  <si>
    <t>1999-03-31</t>
  </si>
  <si>
    <t>94.00</t>
  </si>
  <si>
    <t>首筆</t>
  </si>
  <si>
    <t>1999-04-01</t>
  </si>
  <si>
    <t>1999-09-30</t>
  </si>
  <si>
    <t>未變動</t>
  </si>
  <si>
    <t>1999-10-01</t>
  </si>
  <si>
    <t>2000-03-31</t>
  </si>
  <si>
    <t>88.36</t>
  </si>
  <si>
    <t>降價</t>
  </si>
  <si>
    <t>-6.00</t>
  </si>
  <si>
    <t>2000-04-01</t>
  </si>
  <si>
    <t>2000-09-30</t>
  </si>
  <si>
    <t>74.57</t>
  </si>
  <si>
    <t>-15.61</t>
  </si>
  <si>
    <t>2000-10-01</t>
  </si>
  <si>
    <t>2001-03-31</t>
  </si>
  <si>
    <t>82.72</t>
  </si>
  <si>
    <t>漲價</t>
  </si>
  <si>
    <t>10.93</t>
  </si>
  <si>
    <t>2001-04-01</t>
  </si>
  <si>
    <t>2001-09-30</t>
  </si>
  <si>
    <t>76.63</t>
  </si>
  <si>
    <t>-7.36</t>
  </si>
  <si>
    <t>2001-10-01</t>
  </si>
  <si>
    <t>2003-02-28</t>
  </si>
  <si>
    <t>75.20</t>
  </si>
  <si>
    <t>-1.87</t>
  </si>
  <si>
    <t>2003-03-01</t>
  </si>
  <si>
    <t>2006-10-31</t>
  </si>
  <si>
    <t>69.00</t>
  </si>
  <si>
    <t>-8.24</t>
  </si>
  <si>
    <t>2006-11-01</t>
  </si>
  <si>
    <t>2007-08-31</t>
  </si>
  <si>
    <t>61.00</t>
  </si>
  <si>
    <t>-11.59</t>
  </si>
  <si>
    <t>2007-09-01</t>
  </si>
  <si>
    <t>2009-09-30</t>
  </si>
  <si>
    <t>56.00</t>
  </si>
  <si>
    <t>-8.20</t>
  </si>
  <si>
    <t>2009-10-01</t>
  </si>
  <si>
    <t>2011-11-30</t>
  </si>
  <si>
    <t>43.40</t>
  </si>
  <si>
    <t>-22.50</t>
  </si>
  <si>
    <t>2011-12-01</t>
  </si>
  <si>
    <t>2014-06-30</t>
  </si>
  <si>
    <t>40.90</t>
  </si>
  <si>
    <t>-5.76</t>
  </si>
  <si>
    <t>2014-07-01</t>
  </si>
  <si>
    <t>2015-03-31</t>
  </si>
  <si>
    <t>39.80</t>
  </si>
  <si>
    <t>-2.69</t>
  </si>
  <si>
    <t>2015-04-01</t>
  </si>
  <si>
    <t>2016-03-31</t>
  </si>
  <si>
    <t>36.10</t>
  </si>
  <si>
    <t>-9.30</t>
  </si>
  <si>
    <t>2016-04-01</t>
  </si>
  <si>
    <t>2017-03-31</t>
  </si>
  <si>
    <t>36.00</t>
  </si>
  <si>
    <t>-0.28</t>
  </si>
  <si>
    <t>2017-04-01</t>
  </si>
  <si>
    <t>35.60</t>
  </si>
  <si>
    <t>-1.11</t>
  </si>
  <si>
    <t>2018-05-01</t>
  </si>
  <si>
    <t>2019-03-31</t>
  </si>
  <si>
    <t>35.00</t>
  </si>
  <si>
    <t>-1.69</t>
  </si>
  <si>
    <t>2019-04-01</t>
  </si>
  <si>
    <t>2020-09-30</t>
  </si>
  <si>
    <t>34.20</t>
  </si>
  <si>
    <t>-2.29</t>
  </si>
  <si>
    <t>2020-10-01</t>
  </si>
  <si>
    <t>2021-12-31</t>
  </si>
  <si>
    <t>33.40</t>
  </si>
  <si>
    <t>-2.34</t>
  </si>
  <si>
    <t>2022-01-01</t>
  </si>
  <si>
    <t>2023-03-31</t>
  </si>
  <si>
    <t>32.30</t>
  </si>
  <si>
    <t>-3.29</t>
  </si>
  <si>
    <t>2023-04-01</t>
  </si>
  <si>
    <t>2024-03-31</t>
  </si>
  <si>
    <t>31.00</t>
  </si>
  <si>
    <t>-4.02</t>
  </si>
  <si>
    <t>2024-04-01</t>
  </si>
  <si>
    <t>2025-03-31</t>
  </si>
  <si>
    <t>-3.87</t>
  </si>
  <si>
    <t>2025-04-01</t>
  </si>
  <si>
    <t>2026-03-31</t>
  </si>
  <si>
    <t>29.00</t>
  </si>
  <si>
    <t>-2.68</t>
  </si>
  <si>
    <t>2026-04-01</t>
  </si>
  <si>
    <t>（持續有效）</t>
  </si>
  <si>
    <t>28.10</t>
  </si>
  <si>
    <t>-3.10</t>
  </si>
  <si>
    <t>2016-08-01</t>
  </si>
  <si>
    <t>9.90</t>
  </si>
  <si>
    <t>8.80</t>
  </si>
  <si>
    <t>-11.11</t>
  </si>
  <si>
    <t>7.50</t>
  </si>
  <si>
    <t>-14.77</t>
  </si>
  <si>
    <t>6.70</t>
  </si>
  <si>
    <t>-10.67</t>
  </si>
  <si>
    <t>6.20</t>
  </si>
  <si>
    <t>-7.46</t>
  </si>
  <si>
    <t>5.30</t>
  </si>
  <si>
    <t>-14.52</t>
  </si>
  <si>
    <t>4.61</t>
  </si>
  <si>
    <t>-13.02</t>
  </si>
  <si>
    <t>4.12</t>
  </si>
  <si>
    <t>-10.63</t>
  </si>
  <si>
    <t>2013-08-01</t>
  </si>
  <si>
    <t>2014-04-30</t>
  </si>
  <si>
    <t>2014-05-01</t>
  </si>
  <si>
    <t>2014-12-31</t>
  </si>
  <si>
    <t>-7.74</t>
  </si>
  <si>
    <t>2015-01-01</t>
  </si>
  <si>
    <t>2017-11-30</t>
  </si>
  <si>
    <t>0.00</t>
  </si>
  <si>
    <t>健保支付價 0 元（已終止支付）</t>
  </si>
  <si>
    <t>終止支付</t>
  </si>
  <si>
    <t>20.50</t>
  </si>
  <si>
    <t>-10.48</t>
  </si>
  <si>
    <t>18.90</t>
  </si>
  <si>
    <t>-7.80</t>
  </si>
  <si>
    <t>20.40</t>
  </si>
  <si>
    <t>7.94</t>
  </si>
  <si>
    <t>18.40</t>
  </si>
  <si>
    <t>-9.80</t>
  </si>
  <si>
    <t>16.30</t>
  </si>
  <si>
    <t>-11.41</t>
  </si>
  <si>
    <t>14.60</t>
  </si>
  <si>
    <t>-10.43</t>
  </si>
  <si>
    <t>13.50</t>
  </si>
  <si>
    <t>-7.53</t>
  </si>
  <si>
    <t>12.50</t>
  </si>
  <si>
    <t>-7.41</t>
  </si>
  <si>
    <t>4.80</t>
  </si>
  <si>
    <t>5.70</t>
  </si>
  <si>
    <t>18.75</t>
  </si>
  <si>
    <t>5.40</t>
  </si>
  <si>
    <t>-5.26</t>
  </si>
  <si>
    <t>-1.85</t>
  </si>
  <si>
    <t>5.10</t>
  </si>
  <si>
    <t>-3.77</t>
  </si>
  <si>
    <t>4.98</t>
  </si>
  <si>
    <t>-2.35</t>
  </si>
  <si>
    <t>4.92</t>
  </si>
  <si>
    <t>-1.20</t>
  </si>
  <si>
    <t>2025-08-31</t>
  </si>
  <si>
    <t>4.88</t>
  </si>
  <si>
    <t>-0.81</t>
  </si>
  <si>
    <t>2025-09-01</t>
  </si>
  <si>
    <t>1995-03-01</t>
  </si>
  <si>
    <t>7.26</t>
  </si>
  <si>
    <t>7.00</t>
  </si>
  <si>
    <t>-3.58</t>
  </si>
  <si>
    <t>6.50</t>
  </si>
  <si>
    <t>-7.14</t>
  </si>
  <si>
    <t>6.40</t>
  </si>
  <si>
    <t>-1.54</t>
  </si>
  <si>
    <t>5.20</t>
  </si>
  <si>
    <t>-18.75</t>
  </si>
  <si>
    <t>4.91</t>
  </si>
  <si>
    <t>-5.58</t>
  </si>
  <si>
    <t>2014-07-31</t>
  </si>
  <si>
    <t>4.81</t>
  </si>
  <si>
    <t>-2.04</t>
  </si>
  <si>
    <t>2014-08-01</t>
  </si>
  <si>
    <t>2015-01-31</t>
  </si>
  <si>
    <t>-</t>
  </si>
  <si>
    <t>暫停支付（來源標示 -）</t>
  </si>
  <si>
    <t>暫停支付</t>
  </si>
  <si>
    <t>2015-02-01</t>
  </si>
  <si>
    <t>17.80</t>
  </si>
  <si>
    <t>16.60</t>
  </si>
  <si>
    <t>-6.74</t>
  </si>
  <si>
    <t>16.10</t>
  </si>
  <si>
    <t>-3.01</t>
  </si>
  <si>
    <t>15.30</t>
  </si>
  <si>
    <t>-4.97</t>
  </si>
  <si>
    <t>14.40</t>
  </si>
  <si>
    <t>-5.88</t>
  </si>
  <si>
    <t>2019-05-31</t>
  </si>
  <si>
    <t>13.80</t>
  </si>
  <si>
    <t>-4.17</t>
  </si>
  <si>
    <t>2019-06-01</t>
  </si>
  <si>
    <t>2019-11-30</t>
  </si>
  <si>
    <t>2020-12-01</t>
  </si>
  <si>
    <t>2022-11-30</t>
  </si>
  <si>
    <t>2022-12-01</t>
  </si>
  <si>
    <t>2023-11-30</t>
  </si>
  <si>
    <t>2023-12-01</t>
  </si>
  <si>
    <t>1997-03-01</t>
  </si>
  <si>
    <t>60.00</t>
  </si>
  <si>
    <t>59.00</t>
  </si>
  <si>
    <t>-1.67</t>
  </si>
  <si>
    <t>47.10</t>
  </si>
  <si>
    <t>-20.17</t>
  </si>
  <si>
    <t>35.30</t>
  </si>
  <si>
    <t>-25.05</t>
  </si>
  <si>
    <t>2010-03-31</t>
  </si>
  <si>
    <t>24.60</t>
  </si>
  <si>
    <t>-30.31</t>
  </si>
  <si>
    <t>2010-04-01</t>
  </si>
  <si>
    <t>2010-08-31</t>
  </si>
  <si>
    <t>23.80</t>
  </si>
  <si>
    <t>-3.25</t>
  </si>
  <si>
    <t>2010-10-01</t>
  </si>
  <si>
    <t>249.00</t>
  </si>
  <si>
    <t>247.00</t>
  </si>
  <si>
    <t>-0.80</t>
  </si>
  <si>
    <t>246.00</t>
  </si>
  <si>
    <t>-0.40</t>
  </si>
  <si>
    <t>2024-07-31</t>
  </si>
  <si>
    <t>245.00</t>
  </si>
  <si>
    <t>-0.41</t>
  </si>
  <si>
    <t>2024-08-01</t>
  </si>
  <si>
    <t>2026-09-30</t>
  </si>
  <si>
    <t>2026-10-01</t>
  </si>
  <si>
    <t>2013-12-01</t>
  </si>
  <si>
    <t>11.40</t>
  </si>
  <si>
    <t>10.90</t>
  </si>
  <si>
    <t>-4.39</t>
  </si>
  <si>
    <t>10.00</t>
  </si>
  <si>
    <t>-8.26</t>
  </si>
  <si>
    <t>9.60</t>
  </si>
  <si>
    <t>-4.00</t>
  </si>
  <si>
    <t>8.90</t>
  </si>
  <si>
    <t>-7.29</t>
  </si>
  <si>
    <t>8.20</t>
  </si>
  <si>
    <t>-7.87</t>
  </si>
  <si>
    <t>7.80</t>
  </si>
  <si>
    <t>-4.88</t>
  </si>
  <si>
    <t>5.13</t>
  </si>
  <si>
    <t>7.30</t>
  </si>
  <si>
    <t>-6.41</t>
  </si>
  <si>
    <t>6.90</t>
  </si>
  <si>
    <t>-5.48</t>
  </si>
  <si>
    <t>7.90</t>
  </si>
  <si>
    <t>14.49</t>
  </si>
  <si>
    <t>2015-06-01</t>
  </si>
  <si>
    <t>24.80</t>
  </si>
  <si>
    <t>22.40</t>
  </si>
  <si>
    <t>-9.68</t>
  </si>
  <si>
    <t>20.90</t>
  </si>
  <si>
    <t>-6.70</t>
  </si>
  <si>
    <t>20.00</t>
  </si>
  <si>
    <t>-4.31</t>
  </si>
  <si>
    <t>2023-08-31</t>
  </si>
  <si>
    <t>19.30</t>
  </si>
  <si>
    <t>-3.50</t>
  </si>
  <si>
    <t>2023-09-01</t>
  </si>
  <si>
    <t>14.70</t>
  </si>
  <si>
    <t>-23.83</t>
  </si>
  <si>
    <t>2024-08-31</t>
  </si>
  <si>
    <t>10.50</t>
  </si>
  <si>
    <t>-28.57</t>
  </si>
  <si>
    <t>2024-09-01</t>
  </si>
  <si>
    <t>9.10</t>
  </si>
  <si>
    <t>-13.33</t>
  </si>
  <si>
    <t>7.40</t>
  </si>
  <si>
    <t>-18.68</t>
  </si>
  <si>
    <t>0</t>
  </si>
  <si>
    <t>1998-02-28</t>
  </si>
  <si>
    <t>健保支付價 0 元（此前無有價紀錄）</t>
  </si>
  <si>
    <t>1998-03-01</t>
  </si>
  <si>
    <t>34.00</t>
  </si>
  <si>
    <t>首次有價</t>
  </si>
  <si>
    <t>25.00</t>
  </si>
  <si>
    <t>-26.47</t>
  </si>
  <si>
    <t>-1.60</t>
  </si>
  <si>
    <t>20.60</t>
  </si>
  <si>
    <t>-16.26</t>
  </si>
  <si>
    <t>-0.49</t>
  </si>
  <si>
    <t>BC05037209</t>
    <phoneticPr fontId="4" type="noConversion"/>
  </si>
  <si>
    <t>AB47689100</t>
    <phoneticPr fontId="4" type="noConversion"/>
  </si>
  <si>
    <t>A020296321</t>
    <phoneticPr fontId="4" type="noConversion"/>
  </si>
  <si>
    <t>BC26467100</t>
    <phoneticPr fontId="4" type="noConversion"/>
  </si>
  <si>
    <t>A035680329</t>
    <phoneticPr fontId="4" type="noConversion"/>
  </si>
  <si>
    <t>BC23981100</t>
    <phoneticPr fontId="4" type="noConversion"/>
  </si>
  <si>
    <t>B009254100</t>
    <phoneticPr fontId="4" type="noConversion"/>
  </si>
  <si>
    <t>AC48845100</t>
    <phoneticPr fontId="4" type="noConversion"/>
  </si>
  <si>
    <t>AC48867100</t>
    <phoneticPr fontId="4" type="noConversion"/>
  </si>
  <si>
    <t>AC48092100</t>
    <phoneticPr fontId="4" type="noConversion"/>
  </si>
  <si>
    <t>A017014321</t>
    <phoneticPr fontId="4" type="noConversion"/>
  </si>
  <si>
    <t>liangRxdev</t>
    <phoneticPr fontId="4" type="noConversion"/>
  </si>
  <si>
    <t>2026-09-11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</si>
</sst>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b/>
      <sz val="11"/>
      <name val="Arial"/>
    </font>
    <font>
      <sz val="11"/>
      <name val="Arial"/>
    </font>
    <font>
      <i/>
      <sz val="11"/>
      <color rgb="FF7F7F7F"/>
      <name val="Arial"/>
    </font>
    <font>
      <sz val="9"/>
      <name val="新細明體"/>
      <family val="3"/>
      <charset val="136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3" borderId="0" xfId="0" applyFont="1" applyFill="1"/>
    <xf numFmtId="0" fontId="1" fillId="0" borderId="0" xfId="0" applyFont="1"/>
    <xf numFmtId="49" fontId="3" fillId="0" borderId="0" xfId="0" applyNumberFormat="1" applyFont="1"/>
    <xf numFmtId="49" fontId="2" fillId="3" borderId="0" xfId="0" applyNumberFormat="1" applyFont="1" applyFill="1"/>
    <xf numFmtId="49" fontId="2" fillId="0" borderId="2" xfId="0" applyNumberFormat="1" applyFont="1" applyBorder="1"/>
    <xf numFmtId="49" fontId="2" fillId="3" borderId="2" xfId="0" applyNumberFormat="1" applyFont="1" applyFill="1" applyBorder="1"/>
    <xf numFmtId="49" fontId="2" fillId="0" borderId="0" xfId="0" applyNumberFormat="1" applyFont="1"/>
    <xf numFmtId="0" fontId="5" fillId="0" borderId="0" xfId="0" applyFont="1"/>
    <xf numFmtId="49" fontId="5" fillId="0" borderId="2" xfId="0" applyNumberFormat="1" applyFont="1" applyBorder="1"/>
    <xf numFmtId="49" fontId="5" fillId="3" borderId="0" xfId="0" applyNumberFormat="1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workbookViewId="0">
      <pane xSplit="1" ySplit="1" topLeftCell="B2" activePane="bottomRight" state="frozen"/>
      <selection pane="topRight"/>
      <selection pane="bottomLeft"/>
      <selection pane="bottomRight" activeCell="E10" sqref="E10"/>
    </sheetView>
  </sheetViews>
  <sheetFormatPr defaultRowHeight="14.5" x14ac:dyDescent="0.3"/>
  <cols>
    <col min="1" max="1" width="13" customWidth="1"/>
    <col min="2" max="2" width="40" customWidth="1"/>
    <col min="3" max="3" width="6" customWidth="1"/>
    <col min="4" max="5" width="9" customWidth="1"/>
    <col min="6" max="6" width="8" customWidth="1"/>
    <col min="7" max="7" width="30" customWidth="1"/>
    <col min="8" max="9" width="7" customWidth="1"/>
    <col min="10" max="10" width="10" customWidth="1"/>
    <col min="11" max="11" width="8" customWidth="1"/>
    <col min="12" max="12" width="9" customWidth="1"/>
  </cols>
  <sheetData>
    <row r="1" spans="1:12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0" t="s">
        <v>355</v>
      </c>
      <c r="B2" s="2" t="s">
        <v>13</v>
      </c>
      <c r="C2" s="2"/>
      <c r="D2" s="2">
        <f>COUNTIF(核對表!$A$2:$A$115,$A2)</f>
        <v>24</v>
      </c>
      <c r="E2" s="3">
        <v>24</v>
      </c>
      <c r="F2" s="2">
        <f t="shared" ref="F2:F12" si="0">IF(E2="","",E2-D2)</f>
        <v>0</v>
      </c>
      <c r="G2" s="3"/>
      <c r="H2" s="2">
        <f>COUNTIFS(核對表!$A$2:$A$115,$A2,核對表!$J$2:$J$115,"✓")+COUNTIFS(核對表!$A$2:$A$115,$A2,核對表!$K$2:$K$115,"✓")+COUNTIFS(核對表!$A$2:$A$115,$A2,核對表!$L$2:$L$115,"✓")</f>
        <v>72</v>
      </c>
      <c r="I2" s="2">
        <f>COUNTIFS(核對表!$A$2:$A$115,$A2,核對表!$J$2:$J$115,"✗")+COUNTIFS(核對表!$A$2:$A$115,$A2,核對表!$K$2:$K$115,"✗")+COUNTIFS(核對表!$A$2:$A$115,$A2,核對表!$L$2:$L$115,"✗")</f>
        <v>0</v>
      </c>
      <c r="J2" s="2">
        <f>COUNTIFS(核對表!$A$2:$A$115,$A2,核對表!$J$2:$J$115,"不可核對")+COUNTIFS(核對表!$A$2:$A$115,$A2,核對表!$K$2:$K$115,"不可核對")+COUNTIFS(核對表!$A$2:$A$115,$A2,核對表!$L$2:$L$115,"不可核對")</f>
        <v>0</v>
      </c>
      <c r="K2" s="2">
        <f>COUNTIFS(核對表!$A$2:$A$115,$A2,核對表!$J$2:$J$115,"")+COUNTIFS(核對表!$A$2:$A$115,$A2,核對表!$K$2:$K$115,"")+COUNTIFS(核對表!$A$2:$A$115,$A2,核對表!$L$2:$L$115,"")</f>
        <v>0</v>
      </c>
      <c r="L2" s="2" t="str">
        <f t="shared" ref="L2:L12" si="1">IF(K2&gt;0,"未完成",IF(I2&gt;0,"有不符","完成"))</f>
        <v>完成</v>
      </c>
    </row>
    <row r="3" spans="1:12" x14ac:dyDescent="0.3">
      <c r="A3" s="2" t="s">
        <v>14</v>
      </c>
      <c r="B3" s="2" t="s">
        <v>15</v>
      </c>
      <c r="C3" s="2"/>
      <c r="D3" s="2">
        <f>COUNTIF(核對表!$A$2:$A$115,$A3)</f>
        <v>8</v>
      </c>
      <c r="E3" s="3">
        <v>8</v>
      </c>
      <c r="F3" s="2">
        <f t="shared" si="0"/>
        <v>0</v>
      </c>
      <c r="G3" s="3"/>
      <c r="H3" s="2">
        <f>COUNTIFS(核對表!$A$2:$A$115,$A3,核對表!$J$2:$J$115,"✓")+COUNTIFS(核對表!$A$2:$A$115,$A3,核對表!$K$2:$K$115,"✓")+COUNTIFS(核對表!$A$2:$A$115,$A3,核對表!$L$2:$L$115,"✓")</f>
        <v>24</v>
      </c>
      <c r="I3" s="2">
        <f>COUNTIFS(核對表!$A$2:$A$115,$A3,核對表!$J$2:$J$115,"✗")+COUNTIFS(核對表!$A$2:$A$115,$A3,核對表!$K$2:$K$115,"✗")+COUNTIFS(核對表!$A$2:$A$115,$A3,核對表!$L$2:$L$115,"✗")</f>
        <v>0</v>
      </c>
      <c r="J3" s="2">
        <f>COUNTIFS(核對表!$A$2:$A$115,$A3,核對表!$J$2:$J$115,"不可核對")+COUNTIFS(核對表!$A$2:$A$115,$A3,核對表!$K$2:$K$115,"不可核對")+COUNTIFS(核對表!$A$2:$A$115,$A3,核對表!$L$2:$L$115,"不可核對")</f>
        <v>0</v>
      </c>
      <c r="K3" s="2">
        <f>COUNTIFS(核對表!$A$2:$A$115,$A3,核對表!$J$2:$J$115,"")+COUNTIFS(核對表!$A$2:$A$115,$A3,核對表!$K$2:$K$115,"")+COUNTIFS(核對表!$A$2:$A$115,$A3,核對表!$L$2:$L$115,"")</f>
        <v>0</v>
      </c>
      <c r="L3" s="2" t="str">
        <f t="shared" si="1"/>
        <v>完成</v>
      </c>
    </row>
    <row r="4" spans="1:12" x14ac:dyDescent="0.3">
      <c r="A4" s="2" t="s">
        <v>16</v>
      </c>
      <c r="B4" s="2" t="s">
        <v>17</v>
      </c>
      <c r="C4" s="2" t="s">
        <v>18</v>
      </c>
      <c r="D4" s="2">
        <f>COUNTIF(核對表!$A$2:$A$115,$A4)</f>
        <v>12</v>
      </c>
      <c r="E4" s="3">
        <v>12</v>
      </c>
      <c r="F4" s="2">
        <f t="shared" si="0"/>
        <v>0</v>
      </c>
      <c r="G4" s="3"/>
      <c r="H4" s="2">
        <f>COUNTIFS(核對表!$A$2:$A$115,$A4,核對表!$J$2:$J$115,"✓")+COUNTIFS(核對表!$A$2:$A$115,$A4,核對表!$K$2:$K$115,"✓")+COUNTIFS(核對表!$A$2:$A$115,$A4,核對表!$L$2:$L$115,"✓")</f>
        <v>36</v>
      </c>
      <c r="I4" s="2">
        <f>COUNTIFS(核對表!$A$2:$A$115,$A4,核對表!$J$2:$J$115,"✗")+COUNTIFS(核對表!$A$2:$A$115,$A4,核對表!$K$2:$K$115,"✗")+COUNTIFS(核對表!$A$2:$A$115,$A4,核對表!$L$2:$L$115,"✗")</f>
        <v>0</v>
      </c>
      <c r="J4" s="2">
        <f>COUNTIFS(核對表!$A$2:$A$115,$A4,核對表!$J$2:$J$115,"不可核對")+COUNTIFS(核對表!$A$2:$A$115,$A4,核對表!$K$2:$K$115,"不可核對")+COUNTIFS(核對表!$A$2:$A$115,$A4,核對表!$L$2:$L$115,"不可核對")</f>
        <v>0</v>
      </c>
      <c r="K4" s="2">
        <f>COUNTIFS(核對表!$A$2:$A$115,$A4,核對表!$J$2:$J$115,"")+COUNTIFS(核對表!$A$2:$A$115,$A4,核對表!$K$2:$K$115,"")+COUNTIFS(核對表!$A$2:$A$115,$A4,核對表!$L$2:$L$115,"")</f>
        <v>0</v>
      </c>
      <c r="L4" s="2" t="str">
        <f t="shared" si="1"/>
        <v>完成</v>
      </c>
    </row>
    <row r="5" spans="1:12" x14ac:dyDescent="0.3">
      <c r="A5" s="2" t="s">
        <v>19</v>
      </c>
      <c r="B5" s="2" t="s">
        <v>20</v>
      </c>
      <c r="C5" s="2"/>
      <c r="D5" s="2">
        <f>COUNTIF(核對表!$A$2:$A$115,$A5)</f>
        <v>9</v>
      </c>
      <c r="E5" s="3">
        <v>9</v>
      </c>
      <c r="F5" s="2">
        <f t="shared" si="0"/>
        <v>0</v>
      </c>
      <c r="G5" s="3"/>
      <c r="H5" s="2">
        <f>COUNTIFS(核對表!$A$2:$A$115,$A5,核對表!$J$2:$J$115,"✓")+COUNTIFS(核對表!$A$2:$A$115,$A5,核對表!$K$2:$K$115,"✓")+COUNTIFS(核對表!$A$2:$A$115,$A5,核對表!$L$2:$L$115,"✓")</f>
        <v>27</v>
      </c>
      <c r="I5" s="2">
        <f>COUNTIFS(核對表!$A$2:$A$115,$A5,核對表!$J$2:$J$115,"✗")+COUNTIFS(核對表!$A$2:$A$115,$A5,核對表!$K$2:$K$115,"✗")+COUNTIFS(核對表!$A$2:$A$115,$A5,核對表!$L$2:$L$115,"✗")</f>
        <v>0</v>
      </c>
      <c r="J5" s="2">
        <f>COUNTIFS(核對表!$A$2:$A$115,$A5,核對表!$J$2:$J$115,"不可核對")+COUNTIFS(核對表!$A$2:$A$115,$A5,核對表!$K$2:$K$115,"不可核對")+COUNTIFS(核對表!$A$2:$A$115,$A5,核對表!$L$2:$L$115,"不可核對")</f>
        <v>0</v>
      </c>
      <c r="K5" s="2">
        <f>COUNTIFS(核對表!$A$2:$A$115,$A5,核對表!$J$2:$J$115,"")+COUNTIFS(核對表!$A$2:$A$115,$A5,核對表!$K$2:$K$115,"")+COUNTIFS(核對表!$A$2:$A$115,$A5,核對表!$L$2:$L$115,"")</f>
        <v>0</v>
      </c>
      <c r="L5" s="2" t="str">
        <f t="shared" si="1"/>
        <v>完成</v>
      </c>
    </row>
    <row r="6" spans="1:12" x14ac:dyDescent="0.3">
      <c r="A6" s="10" t="s">
        <v>351</v>
      </c>
      <c r="B6" s="2" t="s">
        <v>22</v>
      </c>
      <c r="C6" s="2" t="s">
        <v>18</v>
      </c>
      <c r="D6" s="2">
        <f>COUNTIF(核對表!$A$2:$A$115,$A6)</f>
        <v>9</v>
      </c>
      <c r="E6" s="3">
        <v>9</v>
      </c>
      <c r="F6" s="2">
        <f t="shared" si="0"/>
        <v>0</v>
      </c>
      <c r="G6" s="3"/>
      <c r="H6" s="2">
        <f>COUNTIFS(核對表!$A$2:$A$115,$A6,核對表!$J$2:$J$115,"✓")+COUNTIFS(核對表!$A$2:$A$115,$A6,核對表!$K$2:$K$115,"✓")+COUNTIFS(核對表!$A$2:$A$115,$A6,核對表!$L$2:$L$115,"✓")</f>
        <v>27</v>
      </c>
      <c r="I6" s="2">
        <f>COUNTIFS(核對表!$A$2:$A$115,$A6,核對表!$J$2:$J$115,"✗")+COUNTIFS(核對表!$A$2:$A$115,$A6,核對表!$K$2:$K$115,"✗")+COUNTIFS(核對表!$A$2:$A$115,$A6,核對表!$L$2:$L$115,"✗")</f>
        <v>0</v>
      </c>
      <c r="J6" s="2">
        <f>COUNTIFS(核對表!$A$2:$A$115,$A6,核對表!$J$2:$J$115,"不可核對")+COUNTIFS(核對表!$A$2:$A$115,$A6,核對表!$K$2:$K$115,"不可核對")+COUNTIFS(核對表!$A$2:$A$115,$A6,核對表!$L$2:$L$115,"不可核對")</f>
        <v>0</v>
      </c>
      <c r="K6" s="2">
        <f>COUNTIFS(核對表!$A$2:$A$115,$A6,核對表!$J$2:$J$115,"")+COUNTIFS(核對表!$A$2:$A$115,$A6,核對表!$K$2:$K$115,"")+COUNTIFS(核對表!$A$2:$A$115,$A6,核對表!$L$2:$L$115,"")</f>
        <v>0</v>
      </c>
      <c r="L6" s="2" t="str">
        <f t="shared" si="1"/>
        <v>完成</v>
      </c>
    </row>
    <row r="7" spans="1:12" x14ac:dyDescent="0.3">
      <c r="A7" s="10" t="s">
        <v>350</v>
      </c>
      <c r="B7" s="2" t="s">
        <v>24</v>
      </c>
      <c r="C7" s="2" t="s">
        <v>18</v>
      </c>
      <c r="D7" s="2">
        <f>COUNTIF(核對表!$A$2:$A$115,$A7)</f>
        <v>11</v>
      </c>
      <c r="E7" s="3">
        <v>11</v>
      </c>
      <c r="F7" s="2">
        <f t="shared" si="0"/>
        <v>0</v>
      </c>
      <c r="G7" s="3"/>
      <c r="H7" s="2">
        <f>COUNTIFS(核對表!$A$2:$A$115,$A7,核對表!$J$2:$J$115,"✓")+COUNTIFS(核對表!$A$2:$A$115,$A7,核對表!$K$2:$K$115,"✓")+COUNTIFS(核對表!$A$2:$A$115,$A7,核對表!$L$2:$L$115,"✓")</f>
        <v>33</v>
      </c>
      <c r="I7" s="2">
        <f>COUNTIFS(核對表!$A$2:$A$115,$A7,核對表!$J$2:$J$115,"✗")+COUNTIFS(核對表!$A$2:$A$115,$A7,核對表!$K$2:$K$115,"✗")+COUNTIFS(核對表!$A$2:$A$115,$A7,核對表!$L$2:$L$115,"✗")</f>
        <v>0</v>
      </c>
      <c r="J7" s="2">
        <f>COUNTIFS(核對表!$A$2:$A$115,$A7,核對表!$J$2:$J$115,"不可核對")+COUNTIFS(核對表!$A$2:$A$115,$A7,核對表!$K$2:$K$115,"不可核對")+COUNTIFS(核對表!$A$2:$A$115,$A7,核對表!$L$2:$L$115,"不可核對")</f>
        <v>0</v>
      </c>
      <c r="K7" s="2">
        <f>COUNTIFS(核對表!$A$2:$A$115,$A7,核對表!$J$2:$J$115,"")+COUNTIFS(核對表!$A$2:$A$115,$A7,核對表!$K$2:$K$115,"")+COUNTIFS(核對表!$A$2:$A$115,$A7,核對表!$L$2:$L$115,"")</f>
        <v>0</v>
      </c>
      <c r="L7" s="2" t="str">
        <f t="shared" si="1"/>
        <v>完成</v>
      </c>
    </row>
    <row r="8" spans="1:12" x14ac:dyDescent="0.3">
      <c r="A8" s="2" t="s">
        <v>25</v>
      </c>
      <c r="B8" s="2" t="s">
        <v>26</v>
      </c>
      <c r="C8" s="2" t="s">
        <v>18</v>
      </c>
      <c r="D8" s="2">
        <f>COUNTIF(核對表!$A$2:$A$115,$A8)</f>
        <v>7</v>
      </c>
      <c r="E8" s="3">
        <v>7</v>
      </c>
      <c r="F8" s="2">
        <f t="shared" si="0"/>
        <v>0</v>
      </c>
      <c r="G8" s="3"/>
      <c r="H8" s="2">
        <f>COUNTIFS(核對表!$A$2:$A$115,$A8,核對表!$J$2:$J$115,"✓")+COUNTIFS(核對表!$A$2:$A$115,$A8,核對表!$K$2:$K$115,"✓")+COUNTIFS(核對表!$A$2:$A$115,$A8,核對表!$L$2:$L$115,"✓")</f>
        <v>21</v>
      </c>
      <c r="I8" s="2">
        <f>COUNTIFS(核對表!$A$2:$A$115,$A8,核對表!$J$2:$J$115,"✗")+COUNTIFS(核對表!$A$2:$A$115,$A8,核對表!$K$2:$K$115,"✗")+COUNTIFS(核對表!$A$2:$A$115,$A8,核對表!$L$2:$L$115,"✗")</f>
        <v>0</v>
      </c>
      <c r="J8" s="2">
        <f>COUNTIFS(核對表!$A$2:$A$115,$A8,核對表!$J$2:$J$115,"不可核對")+COUNTIFS(核對表!$A$2:$A$115,$A8,核對表!$K$2:$K$115,"不可核對")+COUNTIFS(核對表!$A$2:$A$115,$A8,核對表!$L$2:$L$115,"不可核對")</f>
        <v>0</v>
      </c>
      <c r="K8" s="2">
        <f>COUNTIFS(核對表!$A$2:$A$115,$A8,核對表!$J$2:$J$115,"")+COUNTIFS(核對表!$A$2:$A$115,$A8,核對表!$K$2:$K$115,"")+COUNTIFS(核對表!$A$2:$A$115,$A8,核對表!$L$2:$L$115,"")</f>
        <v>0</v>
      </c>
      <c r="L8" s="2" t="str">
        <f t="shared" si="1"/>
        <v>完成</v>
      </c>
    </row>
    <row r="9" spans="1:12" x14ac:dyDescent="0.3">
      <c r="A9" s="10" t="s">
        <v>345</v>
      </c>
      <c r="B9" s="2" t="s">
        <v>28</v>
      </c>
      <c r="C9" s="2" t="s">
        <v>18</v>
      </c>
      <c r="D9" s="2">
        <f>COUNTIF(核對表!$A$2:$A$115,$A9)</f>
        <v>6</v>
      </c>
      <c r="E9" s="3">
        <v>6</v>
      </c>
      <c r="F9" s="2">
        <f t="shared" si="0"/>
        <v>0</v>
      </c>
      <c r="G9" s="3"/>
      <c r="H9" s="2">
        <f>COUNTIFS(核對表!$A$2:$A$115,$A9,核對表!$J$2:$J$115,"✓")+COUNTIFS(核對表!$A$2:$A$115,$A9,核對表!$K$2:$K$115,"✓")+COUNTIFS(核對表!$A$2:$A$115,$A9,核對表!$L$2:$L$115,"✓")</f>
        <v>18</v>
      </c>
      <c r="I9" s="2">
        <f>COUNTIFS(核對表!$A$2:$A$115,$A9,核對表!$J$2:$J$115,"✗")+COUNTIFS(核對表!$A$2:$A$115,$A9,核對表!$K$2:$K$115,"✗")+COUNTIFS(核對表!$A$2:$A$115,$A9,核對表!$L$2:$L$115,"✗")</f>
        <v>0</v>
      </c>
      <c r="J9" s="2">
        <f>COUNTIFS(核對表!$A$2:$A$115,$A9,核對表!$J$2:$J$115,"不可核對")+COUNTIFS(核對表!$A$2:$A$115,$A9,核對表!$K$2:$K$115,"不可核對")+COUNTIFS(核對表!$A$2:$A$115,$A9,核對表!$L$2:$L$115,"不可核對")</f>
        <v>0</v>
      </c>
      <c r="K9" s="2">
        <f>COUNTIFS(核對表!$A$2:$A$115,$A9,核對表!$J$2:$J$115,"")+COUNTIFS(核對表!$A$2:$A$115,$A9,核對表!$K$2:$K$115,"")+COUNTIFS(核對表!$A$2:$A$115,$A9,核對表!$L$2:$L$115,"")</f>
        <v>0</v>
      </c>
      <c r="L9" s="2" t="str">
        <f t="shared" si="1"/>
        <v>完成</v>
      </c>
    </row>
    <row r="10" spans="1:12" x14ac:dyDescent="0.3">
      <c r="A10" s="10" t="s">
        <v>346</v>
      </c>
      <c r="B10" s="2" t="s">
        <v>30</v>
      </c>
      <c r="C10" s="2" t="s">
        <v>18</v>
      </c>
      <c r="D10" s="2">
        <f>COUNTIF(核對表!$A$2:$A$115,$A10)</f>
        <v>12</v>
      </c>
      <c r="E10" s="3">
        <v>12</v>
      </c>
      <c r="F10" s="2">
        <f t="shared" si="0"/>
        <v>0</v>
      </c>
      <c r="G10" s="3"/>
      <c r="H10" s="2">
        <f>COUNTIFS(核對表!$A$2:$A$115,$A10,核對表!$J$2:$J$115,"✓")+COUNTIFS(核對表!$A$2:$A$115,$A10,核對表!$K$2:$K$115,"✓")+COUNTIFS(核對表!$A$2:$A$115,$A10,核對表!$L$2:$L$115,"✓")</f>
        <v>36</v>
      </c>
      <c r="I10" s="2">
        <f>COUNTIFS(核對表!$A$2:$A$115,$A10,核對表!$J$2:$J$115,"✗")+COUNTIFS(核對表!$A$2:$A$115,$A10,核對表!$K$2:$K$115,"✗")+COUNTIFS(核對表!$A$2:$A$115,$A10,核對表!$L$2:$L$115,"✗")</f>
        <v>0</v>
      </c>
      <c r="J10" s="2">
        <f>COUNTIFS(核對表!$A$2:$A$115,$A10,核對表!$J$2:$J$115,"不可核對")+COUNTIFS(核對表!$A$2:$A$115,$A10,核對表!$K$2:$K$115,"不可核對")+COUNTIFS(核對表!$A$2:$A$115,$A10,核對表!$L$2:$L$115,"不可核對")</f>
        <v>0</v>
      </c>
      <c r="K10" s="2">
        <f>COUNTIFS(核對表!$A$2:$A$115,$A10,核對表!$J$2:$J$115,"")+COUNTIFS(核對表!$A$2:$A$115,$A10,核對表!$K$2:$K$115,"")+COUNTIFS(核對表!$A$2:$A$115,$A10,核對表!$L$2:$L$115,"")</f>
        <v>0</v>
      </c>
      <c r="L10" s="2" t="str">
        <f t="shared" si="1"/>
        <v>完成</v>
      </c>
    </row>
    <row r="11" spans="1:12" x14ac:dyDescent="0.3">
      <c r="A11" s="2" t="s">
        <v>31</v>
      </c>
      <c r="B11" s="2" t="s">
        <v>32</v>
      </c>
      <c r="C11" s="2" t="s">
        <v>18</v>
      </c>
      <c r="D11" s="2">
        <f>COUNTIF(核對表!$A$2:$A$115,$A11)</f>
        <v>10</v>
      </c>
      <c r="E11" s="3">
        <v>10</v>
      </c>
      <c r="F11" s="2">
        <f t="shared" si="0"/>
        <v>0</v>
      </c>
      <c r="G11" s="3"/>
      <c r="H11" s="2">
        <f>COUNTIFS(核對表!$A$2:$A$115,$A11,核對表!$J$2:$J$115,"✓")+COUNTIFS(核對表!$A$2:$A$115,$A11,核對表!$K$2:$K$115,"✓")+COUNTIFS(核對表!$A$2:$A$115,$A11,核對表!$L$2:$L$115,"✓")</f>
        <v>30</v>
      </c>
      <c r="I11" s="2">
        <f>COUNTIFS(核對表!$A$2:$A$115,$A11,核對表!$J$2:$J$115,"✗")+COUNTIFS(核對表!$A$2:$A$115,$A11,核對表!$K$2:$K$115,"✗")+COUNTIFS(核對表!$A$2:$A$115,$A11,核對表!$L$2:$L$115,"✗")</f>
        <v>0</v>
      </c>
      <c r="J11" s="2">
        <f>COUNTIFS(核對表!$A$2:$A$115,$A11,核對表!$J$2:$J$115,"不可核對")+COUNTIFS(核對表!$A$2:$A$115,$A11,核對表!$K$2:$K$115,"不可核對")+COUNTIFS(核對表!$A$2:$A$115,$A11,核對表!$L$2:$L$115,"不可核對")</f>
        <v>0</v>
      </c>
      <c r="K11" s="2">
        <f>COUNTIFS(核對表!$A$2:$A$115,$A11,核對表!$J$2:$J$115,"")+COUNTIFS(核對表!$A$2:$A$115,$A11,核對表!$K$2:$K$115,"")+COUNTIFS(核對表!$A$2:$A$115,$A11,核對表!$L$2:$L$115,"")</f>
        <v>0</v>
      </c>
      <c r="L11" s="2" t="str">
        <f t="shared" si="1"/>
        <v>完成</v>
      </c>
    </row>
    <row r="12" spans="1:12" x14ac:dyDescent="0.3">
      <c r="A12" s="10" t="s">
        <v>347</v>
      </c>
      <c r="B12" s="2" t="s">
        <v>34</v>
      </c>
      <c r="C12" s="2" t="s">
        <v>18</v>
      </c>
      <c r="D12" s="2">
        <f>COUNTIF(核對表!$A$2:$A$115,$A12)</f>
        <v>6</v>
      </c>
      <c r="E12" s="3">
        <v>6</v>
      </c>
      <c r="F12" s="2">
        <f t="shared" si="0"/>
        <v>0</v>
      </c>
      <c r="G12" s="3"/>
      <c r="H12" s="2">
        <f>COUNTIFS(核對表!$A$2:$A$115,$A12,核對表!$J$2:$J$115,"✓")+COUNTIFS(核對表!$A$2:$A$115,$A12,核對表!$K$2:$K$115,"✓")+COUNTIFS(核對表!$A$2:$A$115,$A12,核對表!$L$2:$L$115,"✓")</f>
        <v>18</v>
      </c>
      <c r="I12" s="2">
        <f>COUNTIFS(核對表!$A$2:$A$115,$A12,核對表!$J$2:$J$115,"✗")+COUNTIFS(核對表!$A$2:$A$115,$A12,核對表!$K$2:$K$115,"✗")+COUNTIFS(核對表!$A$2:$A$115,$A12,核對表!$L$2:$L$115,"✗")</f>
        <v>0</v>
      </c>
      <c r="J12" s="2">
        <f>COUNTIFS(核對表!$A$2:$A$115,$A12,核對表!$J$2:$J$115,"不可核對")+COUNTIFS(核對表!$A$2:$A$115,$A12,核對表!$K$2:$K$115,"不可核對")+COUNTIFS(核對表!$A$2:$A$115,$A12,核對表!$L$2:$L$115,"不可核對")</f>
        <v>0</v>
      </c>
      <c r="K12" s="2">
        <f>COUNTIFS(核對表!$A$2:$A$115,$A12,核對表!$J$2:$J$115,"")+COUNTIFS(核對表!$A$2:$A$115,$A12,核對表!$K$2:$K$115,"")+COUNTIFS(核對表!$A$2:$A$115,$A12,核對表!$L$2:$L$115,"")</f>
        <v>0</v>
      </c>
      <c r="L12" s="2" t="str">
        <f t="shared" si="1"/>
        <v>完成</v>
      </c>
    </row>
    <row r="13" spans="1:12" x14ac:dyDescent="0.3">
      <c r="A13" s="4" t="s">
        <v>35</v>
      </c>
      <c r="B13" s="4"/>
      <c r="C13" s="4"/>
      <c r="D13" s="4">
        <f>SUM(D2:D12)</f>
        <v>114</v>
      </c>
      <c r="E13" s="4"/>
      <c r="F13" s="4"/>
      <c r="G13" s="4"/>
      <c r="H13" s="4">
        <f>SUM(H2:H12)</f>
        <v>342</v>
      </c>
      <c r="I13" s="4">
        <f>SUM(I2:I12)</f>
        <v>0</v>
      </c>
      <c r="J13" s="4">
        <f>SUM(J2:J12)</f>
        <v>0</v>
      </c>
      <c r="K13" s="4">
        <f>SUM(K2:K12)</f>
        <v>0</v>
      </c>
      <c r="L13" s="4"/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tabSelected="1" topLeftCell="A7" workbookViewId="0">
      <selection activeCell="C22" sqref="C22"/>
    </sheetView>
  </sheetViews>
  <sheetFormatPr defaultRowHeight="14.5" x14ac:dyDescent="0.3"/>
  <cols>
    <col min="1" max="1" width="24" customWidth="1"/>
    <col min="2" max="2" width="18" customWidth="1"/>
    <col min="3" max="13" width="14" customWidth="1"/>
  </cols>
  <sheetData>
    <row r="1" spans="1:13" x14ac:dyDescent="0.3">
      <c r="A1" s="4" t="s">
        <v>36</v>
      </c>
    </row>
    <row r="2" spans="1:13" x14ac:dyDescent="0.3">
      <c r="A2" s="2" t="s">
        <v>37</v>
      </c>
    </row>
    <row r="3" spans="1:13" x14ac:dyDescent="0.3">
      <c r="A3" s="2" t="s">
        <v>38</v>
      </c>
    </row>
    <row r="4" spans="1:13" x14ac:dyDescent="0.3">
      <c r="A4" s="2"/>
    </row>
    <row r="5" spans="1:13" x14ac:dyDescent="0.3">
      <c r="A5" s="4" t="s">
        <v>39</v>
      </c>
    </row>
    <row r="6" spans="1:13" x14ac:dyDescent="0.3">
      <c r="A6" s="2" t="s">
        <v>40</v>
      </c>
    </row>
    <row r="7" spans="1:13" x14ac:dyDescent="0.3">
      <c r="A7" s="2" t="s">
        <v>41</v>
      </c>
    </row>
    <row r="8" spans="1:13" x14ac:dyDescent="0.3">
      <c r="A8" s="2" t="s">
        <v>42</v>
      </c>
    </row>
    <row r="9" spans="1:13" x14ac:dyDescent="0.3">
      <c r="A9" s="2" t="s">
        <v>43</v>
      </c>
    </row>
    <row r="10" spans="1:13" x14ac:dyDescent="0.3">
      <c r="A10" s="2" t="s">
        <v>44</v>
      </c>
    </row>
    <row r="11" spans="1:13" x14ac:dyDescent="0.3">
      <c r="A11" s="2"/>
    </row>
    <row r="12" spans="1:13" x14ac:dyDescent="0.3">
      <c r="A12" s="4" t="s">
        <v>45</v>
      </c>
    </row>
    <row r="13" spans="1:13" x14ac:dyDescent="0.3">
      <c r="A13" s="2"/>
    </row>
    <row r="14" spans="1:13" x14ac:dyDescent="0.3">
      <c r="A14" s="4" t="s">
        <v>46</v>
      </c>
    </row>
    <row r="15" spans="1:13" ht="28" x14ac:dyDescent="0.3">
      <c r="A15" s="1" t="s">
        <v>0</v>
      </c>
      <c r="B15" s="1" t="s">
        <v>47</v>
      </c>
      <c r="C15" s="1" t="s">
        <v>48</v>
      </c>
      <c r="D15" s="1" t="s">
        <v>49</v>
      </c>
      <c r="E15" s="1" t="s">
        <v>50</v>
      </c>
      <c r="F15" s="1" t="s">
        <v>51</v>
      </c>
      <c r="G15" s="1" t="s">
        <v>52</v>
      </c>
      <c r="H15" s="1" t="s">
        <v>53</v>
      </c>
      <c r="I15" s="1" t="s">
        <v>54</v>
      </c>
      <c r="J15" s="1" t="s">
        <v>55</v>
      </c>
      <c r="K15" s="1" t="s">
        <v>56</v>
      </c>
      <c r="L15" s="1" t="s">
        <v>57</v>
      </c>
      <c r="M15" s="1" t="s">
        <v>58</v>
      </c>
    </row>
    <row r="16" spans="1:13" ht="15" x14ac:dyDescent="0.35">
      <c r="A16" s="5" t="s">
        <v>16</v>
      </c>
      <c r="B16" s="5">
        <v>4</v>
      </c>
      <c r="C16" s="5" t="s">
        <v>59</v>
      </c>
      <c r="D16" s="5" t="s">
        <v>60</v>
      </c>
      <c r="E16" s="5" t="s">
        <v>61</v>
      </c>
      <c r="F16" s="5" t="s">
        <v>62</v>
      </c>
      <c r="G16" s="5" t="s">
        <v>63</v>
      </c>
      <c r="H16" s="5" t="s">
        <v>64</v>
      </c>
      <c r="I16" s="5" t="s">
        <v>65</v>
      </c>
      <c r="J16" s="5" t="s">
        <v>66</v>
      </c>
      <c r="K16" s="5" t="s">
        <v>66</v>
      </c>
      <c r="L16" s="5" t="s">
        <v>66</v>
      </c>
      <c r="M16" s="5" t="s">
        <v>67</v>
      </c>
    </row>
    <row r="18" spans="1:2" x14ac:dyDescent="0.3">
      <c r="A18" s="4" t="s">
        <v>68</v>
      </c>
      <c r="B18" s="12" t="s">
        <v>356</v>
      </c>
    </row>
    <row r="19" spans="1:2" x14ac:dyDescent="0.3">
      <c r="A19" s="4" t="s">
        <v>69</v>
      </c>
      <c r="B19" s="12" t="s">
        <v>357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5"/>
  <sheetViews>
    <sheetView workbookViewId="0">
      <pane xSplit="1" ySplit="1" topLeftCell="B2" activePane="bottomRight" state="frozen"/>
      <selection pane="topRight"/>
      <selection pane="bottomLeft"/>
      <selection pane="bottomRight" activeCell="K23" sqref="K23"/>
    </sheetView>
  </sheetViews>
  <sheetFormatPr defaultRowHeight="14.5" x14ac:dyDescent="0.3"/>
  <cols>
    <col min="1" max="1" width="13" customWidth="1"/>
    <col min="2" max="2" width="5" customWidth="1"/>
    <col min="3" max="3" width="12" customWidth="1"/>
    <col min="4" max="4" width="13" customWidth="1"/>
    <col min="5" max="5" width="12" customWidth="1"/>
    <col min="6" max="6" width="30" customWidth="1"/>
    <col min="7" max="7" width="22" customWidth="1"/>
    <col min="8" max="8" width="10" customWidth="1"/>
    <col min="9" max="9" width="9" customWidth="1"/>
    <col min="10" max="12" width="12" customWidth="1"/>
    <col min="13" max="13" width="36" customWidth="1"/>
  </cols>
  <sheetData>
    <row r="1" spans="1:13" ht="28" x14ac:dyDescent="0.3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3">
      <c r="A2" s="7" t="s">
        <v>12</v>
      </c>
      <c r="B2" s="7">
        <v>1</v>
      </c>
      <c r="C2" s="7" t="s">
        <v>70</v>
      </c>
      <c r="D2" s="7" t="s">
        <v>71</v>
      </c>
      <c r="E2" s="7" t="s">
        <v>72</v>
      </c>
      <c r="F2" s="7" t="s">
        <v>62</v>
      </c>
      <c r="G2" s="7" t="s">
        <v>73</v>
      </c>
      <c r="H2" s="7"/>
      <c r="I2" s="7"/>
      <c r="J2" s="8" t="s">
        <v>66</v>
      </c>
      <c r="K2" s="8" t="s">
        <v>66</v>
      </c>
      <c r="L2" s="8" t="s">
        <v>66</v>
      </c>
      <c r="M2" s="8"/>
    </row>
    <row r="3" spans="1:13" x14ac:dyDescent="0.3">
      <c r="A3" s="9" t="s">
        <v>12</v>
      </c>
      <c r="B3" s="9">
        <v>2</v>
      </c>
      <c r="C3" s="9" t="s">
        <v>74</v>
      </c>
      <c r="D3" s="9" t="s">
        <v>75</v>
      </c>
      <c r="E3" s="9" t="s">
        <v>72</v>
      </c>
      <c r="F3" s="9" t="s">
        <v>62</v>
      </c>
      <c r="G3" s="9" t="s">
        <v>76</v>
      </c>
      <c r="H3" s="9" t="s">
        <v>72</v>
      </c>
      <c r="I3" s="9"/>
      <c r="J3" s="6" t="s">
        <v>66</v>
      </c>
      <c r="K3" s="6" t="s">
        <v>66</v>
      </c>
      <c r="L3" s="6" t="s">
        <v>66</v>
      </c>
      <c r="M3" s="6"/>
    </row>
    <row r="4" spans="1:13" x14ac:dyDescent="0.3">
      <c r="A4" s="9" t="s">
        <v>12</v>
      </c>
      <c r="B4" s="9">
        <v>3</v>
      </c>
      <c r="C4" s="9" t="s">
        <v>77</v>
      </c>
      <c r="D4" s="9" t="s">
        <v>78</v>
      </c>
      <c r="E4" s="9" t="s">
        <v>79</v>
      </c>
      <c r="F4" s="9" t="s">
        <v>62</v>
      </c>
      <c r="G4" s="9" t="s">
        <v>80</v>
      </c>
      <c r="H4" s="9" t="s">
        <v>72</v>
      </c>
      <c r="I4" s="9" t="s">
        <v>81</v>
      </c>
      <c r="J4" s="6" t="s">
        <v>66</v>
      </c>
      <c r="K4" s="6" t="s">
        <v>66</v>
      </c>
      <c r="L4" s="6" t="s">
        <v>66</v>
      </c>
      <c r="M4" s="6"/>
    </row>
    <row r="5" spans="1:13" x14ac:dyDescent="0.3">
      <c r="A5" s="9" t="s">
        <v>12</v>
      </c>
      <c r="B5" s="9">
        <v>4</v>
      </c>
      <c r="C5" s="9" t="s">
        <v>82</v>
      </c>
      <c r="D5" s="9" t="s">
        <v>83</v>
      </c>
      <c r="E5" s="9" t="s">
        <v>84</v>
      </c>
      <c r="F5" s="9" t="s">
        <v>62</v>
      </c>
      <c r="G5" s="9" t="s">
        <v>80</v>
      </c>
      <c r="H5" s="9" t="s">
        <v>79</v>
      </c>
      <c r="I5" s="9" t="s">
        <v>85</v>
      </c>
      <c r="J5" s="6" t="s">
        <v>66</v>
      </c>
      <c r="K5" s="6" t="s">
        <v>66</v>
      </c>
      <c r="L5" s="6" t="s">
        <v>66</v>
      </c>
      <c r="M5" s="6"/>
    </row>
    <row r="6" spans="1:13" x14ac:dyDescent="0.3">
      <c r="A6" s="9" t="s">
        <v>12</v>
      </c>
      <c r="B6" s="9">
        <v>5</v>
      </c>
      <c r="C6" s="9" t="s">
        <v>86</v>
      </c>
      <c r="D6" s="9" t="s">
        <v>87</v>
      </c>
      <c r="E6" s="9" t="s">
        <v>88</v>
      </c>
      <c r="F6" s="9" t="s">
        <v>62</v>
      </c>
      <c r="G6" s="9" t="s">
        <v>89</v>
      </c>
      <c r="H6" s="9" t="s">
        <v>84</v>
      </c>
      <c r="I6" s="9" t="s">
        <v>90</v>
      </c>
      <c r="J6" s="6" t="s">
        <v>66</v>
      </c>
      <c r="K6" s="6" t="s">
        <v>66</v>
      </c>
      <c r="L6" s="6" t="s">
        <v>66</v>
      </c>
      <c r="M6" s="6"/>
    </row>
    <row r="7" spans="1:13" x14ac:dyDescent="0.3">
      <c r="A7" s="9" t="s">
        <v>12</v>
      </c>
      <c r="B7" s="9">
        <v>6</v>
      </c>
      <c r="C7" s="9" t="s">
        <v>91</v>
      </c>
      <c r="D7" s="9" t="s">
        <v>92</v>
      </c>
      <c r="E7" s="9" t="s">
        <v>93</v>
      </c>
      <c r="F7" s="9" t="s">
        <v>62</v>
      </c>
      <c r="G7" s="9" t="s">
        <v>80</v>
      </c>
      <c r="H7" s="9" t="s">
        <v>88</v>
      </c>
      <c r="I7" s="9" t="s">
        <v>94</v>
      </c>
      <c r="J7" s="6" t="s">
        <v>66</v>
      </c>
      <c r="K7" s="6" t="s">
        <v>66</v>
      </c>
      <c r="L7" s="6" t="s">
        <v>66</v>
      </c>
      <c r="M7" s="6"/>
    </row>
    <row r="8" spans="1:13" x14ac:dyDescent="0.3">
      <c r="A8" s="9" t="s">
        <v>12</v>
      </c>
      <c r="B8" s="9">
        <v>7</v>
      </c>
      <c r="C8" s="9" t="s">
        <v>95</v>
      </c>
      <c r="D8" s="9" t="s">
        <v>96</v>
      </c>
      <c r="E8" s="9" t="s">
        <v>97</v>
      </c>
      <c r="F8" s="9" t="s">
        <v>62</v>
      </c>
      <c r="G8" s="9" t="s">
        <v>80</v>
      </c>
      <c r="H8" s="9" t="s">
        <v>93</v>
      </c>
      <c r="I8" s="9" t="s">
        <v>98</v>
      </c>
      <c r="J8" s="6" t="s">
        <v>66</v>
      </c>
      <c r="K8" s="6" t="s">
        <v>66</v>
      </c>
      <c r="L8" s="6" t="s">
        <v>66</v>
      </c>
      <c r="M8" s="6"/>
    </row>
    <row r="9" spans="1:13" x14ac:dyDescent="0.3">
      <c r="A9" s="9" t="s">
        <v>12</v>
      </c>
      <c r="B9" s="9">
        <v>8</v>
      </c>
      <c r="C9" s="9" t="s">
        <v>99</v>
      </c>
      <c r="D9" s="9" t="s">
        <v>100</v>
      </c>
      <c r="E9" s="9" t="s">
        <v>101</v>
      </c>
      <c r="F9" s="9" t="s">
        <v>62</v>
      </c>
      <c r="G9" s="9" t="s">
        <v>80</v>
      </c>
      <c r="H9" s="9" t="s">
        <v>97</v>
      </c>
      <c r="I9" s="9" t="s">
        <v>102</v>
      </c>
      <c r="J9" s="6" t="s">
        <v>66</v>
      </c>
      <c r="K9" s="6" t="s">
        <v>66</v>
      </c>
      <c r="L9" s="6" t="s">
        <v>66</v>
      </c>
      <c r="M9" s="6"/>
    </row>
    <row r="10" spans="1:13" x14ac:dyDescent="0.3">
      <c r="A10" s="9" t="s">
        <v>12</v>
      </c>
      <c r="B10" s="9">
        <v>9</v>
      </c>
      <c r="C10" s="9" t="s">
        <v>103</v>
      </c>
      <c r="D10" s="9" t="s">
        <v>104</v>
      </c>
      <c r="E10" s="9" t="s">
        <v>105</v>
      </c>
      <c r="F10" s="9" t="s">
        <v>62</v>
      </c>
      <c r="G10" s="9" t="s">
        <v>80</v>
      </c>
      <c r="H10" s="9" t="s">
        <v>101</v>
      </c>
      <c r="I10" s="9" t="s">
        <v>106</v>
      </c>
      <c r="J10" s="6" t="s">
        <v>66</v>
      </c>
      <c r="K10" s="6" t="s">
        <v>66</v>
      </c>
      <c r="L10" s="6" t="s">
        <v>66</v>
      </c>
      <c r="M10" s="6"/>
    </row>
    <row r="11" spans="1:13" x14ac:dyDescent="0.3">
      <c r="A11" s="9" t="s">
        <v>12</v>
      </c>
      <c r="B11" s="9">
        <v>10</v>
      </c>
      <c r="C11" s="9" t="s">
        <v>107</v>
      </c>
      <c r="D11" s="9" t="s">
        <v>108</v>
      </c>
      <c r="E11" s="9" t="s">
        <v>109</v>
      </c>
      <c r="F11" s="9" t="s">
        <v>62</v>
      </c>
      <c r="G11" s="9" t="s">
        <v>80</v>
      </c>
      <c r="H11" s="9" t="s">
        <v>105</v>
      </c>
      <c r="I11" s="9" t="s">
        <v>110</v>
      </c>
      <c r="J11" s="6" t="s">
        <v>66</v>
      </c>
      <c r="K11" s="6" t="s">
        <v>66</v>
      </c>
      <c r="L11" s="6" t="s">
        <v>66</v>
      </c>
      <c r="M11" s="6"/>
    </row>
    <row r="12" spans="1:13" x14ac:dyDescent="0.3">
      <c r="A12" s="9" t="s">
        <v>12</v>
      </c>
      <c r="B12" s="9">
        <v>11</v>
      </c>
      <c r="C12" s="9" t="s">
        <v>111</v>
      </c>
      <c r="D12" s="9" t="s">
        <v>112</v>
      </c>
      <c r="E12" s="9" t="s">
        <v>113</v>
      </c>
      <c r="F12" s="9" t="s">
        <v>62</v>
      </c>
      <c r="G12" s="9" t="s">
        <v>80</v>
      </c>
      <c r="H12" s="9" t="s">
        <v>109</v>
      </c>
      <c r="I12" s="9" t="s">
        <v>114</v>
      </c>
      <c r="J12" s="6" t="s">
        <v>66</v>
      </c>
      <c r="K12" s="6" t="s">
        <v>66</v>
      </c>
      <c r="L12" s="6" t="s">
        <v>66</v>
      </c>
      <c r="M12" s="6"/>
    </row>
    <row r="13" spans="1:13" x14ac:dyDescent="0.3">
      <c r="A13" s="9" t="s">
        <v>12</v>
      </c>
      <c r="B13" s="9">
        <v>12</v>
      </c>
      <c r="C13" s="9" t="s">
        <v>115</v>
      </c>
      <c r="D13" s="9" t="s">
        <v>116</v>
      </c>
      <c r="E13" s="9" t="s">
        <v>117</v>
      </c>
      <c r="F13" s="9" t="s">
        <v>62</v>
      </c>
      <c r="G13" s="9" t="s">
        <v>80</v>
      </c>
      <c r="H13" s="9" t="s">
        <v>113</v>
      </c>
      <c r="I13" s="9" t="s">
        <v>118</v>
      </c>
      <c r="J13" s="6" t="s">
        <v>66</v>
      </c>
      <c r="K13" s="6" t="s">
        <v>66</v>
      </c>
      <c r="L13" s="6" t="s">
        <v>66</v>
      </c>
      <c r="M13" s="6"/>
    </row>
    <row r="14" spans="1:13" x14ac:dyDescent="0.3">
      <c r="A14" s="9" t="s">
        <v>12</v>
      </c>
      <c r="B14" s="9">
        <v>13</v>
      </c>
      <c r="C14" s="9" t="s">
        <v>119</v>
      </c>
      <c r="D14" s="9" t="s">
        <v>120</v>
      </c>
      <c r="E14" s="9" t="s">
        <v>121</v>
      </c>
      <c r="F14" s="9" t="s">
        <v>62</v>
      </c>
      <c r="G14" s="9" t="s">
        <v>80</v>
      </c>
      <c r="H14" s="9" t="s">
        <v>117</v>
      </c>
      <c r="I14" s="9" t="s">
        <v>122</v>
      </c>
      <c r="J14" s="6" t="s">
        <v>66</v>
      </c>
      <c r="K14" s="6" t="s">
        <v>66</v>
      </c>
      <c r="L14" s="6" t="s">
        <v>66</v>
      </c>
      <c r="M14" s="6"/>
    </row>
    <row r="15" spans="1:13" x14ac:dyDescent="0.3">
      <c r="A15" s="9" t="s">
        <v>12</v>
      </c>
      <c r="B15" s="9">
        <v>14</v>
      </c>
      <c r="C15" s="9" t="s">
        <v>123</v>
      </c>
      <c r="D15" s="9" t="s">
        <v>124</v>
      </c>
      <c r="E15" s="9" t="s">
        <v>125</v>
      </c>
      <c r="F15" s="9" t="s">
        <v>62</v>
      </c>
      <c r="G15" s="9" t="s">
        <v>80</v>
      </c>
      <c r="H15" s="9" t="s">
        <v>121</v>
      </c>
      <c r="I15" s="9" t="s">
        <v>126</v>
      </c>
      <c r="J15" s="6" t="s">
        <v>66</v>
      </c>
      <c r="K15" s="6" t="s">
        <v>66</v>
      </c>
      <c r="L15" s="6" t="s">
        <v>66</v>
      </c>
      <c r="M15" s="6"/>
    </row>
    <row r="16" spans="1:13" x14ac:dyDescent="0.3">
      <c r="A16" s="9" t="s">
        <v>12</v>
      </c>
      <c r="B16" s="9">
        <v>15</v>
      </c>
      <c r="C16" s="9" t="s">
        <v>127</v>
      </c>
      <c r="D16" s="9" t="s">
        <v>128</v>
      </c>
      <c r="E16" s="9" t="s">
        <v>129</v>
      </c>
      <c r="F16" s="9" t="s">
        <v>62</v>
      </c>
      <c r="G16" s="9" t="s">
        <v>80</v>
      </c>
      <c r="H16" s="9" t="s">
        <v>125</v>
      </c>
      <c r="I16" s="9" t="s">
        <v>130</v>
      </c>
      <c r="J16" s="6" t="s">
        <v>66</v>
      </c>
      <c r="K16" s="6" t="s">
        <v>66</v>
      </c>
      <c r="L16" s="6" t="s">
        <v>66</v>
      </c>
      <c r="M16" s="6"/>
    </row>
    <row r="17" spans="1:13" x14ac:dyDescent="0.3">
      <c r="A17" s="9" t="s">
        <v>12</v>
      </c>
      <c r="B17" s="9">
        <v>16</v>
      </c>
      <c r="C17" s="9" t="s">
        <v>131</v>
      </c>
      <c r="D17" s="9" t="s">
        <v>60</v>
      </c>
      <c r="E17" s="9" t="s">
        <v>132</v>
      </c>
      <c r="F17" s="9" t="s">
        <v>62</v>
      </c>
      <c r="G17" s="9" t="s">
        <v>80</v>
      </c>
      <c r="H17" s="9" t="s">
        <v>129</v>
      </c>
      <c r="I17" s="9" t="s">
        <v>133</v>
      </c>
      <c r="J17" s="6" t="s">
        <v>66</v>
      </c>
      <c r="K17" s="6" t="s">
        <v>66</v>
      </c>
      <c r="L17" s="6" t="s">
        <v>66</v>
      </c>
      <c r="M17" s="6"/>
    </row>
    <row r="18" spans="1:13" x14ac:dyDescent="0.3">
      <c r="A18" s="9" t="s">
        <v>12</v>
      </c>
      <c r="B18" s="9">
        <v>17</v>
      </c>
      <c r="C18" s="9" t="s">
        <v>134</v>
      </c>
      <c r="D18" s="9" t="s">
        <v>135</v>
      </c>
      <c r="E18" s="9" t="s">
        <v>136</v>
      </c>
      <c r="F18" s="9" t="s">
        <v>62</v>
      </c>
      <c r="G18" s="9" t="s">
        <v>80</v>
      </c>
      <c r="H18" s="9" t="s">
        <v>132</v>
      </c>
      <c r="I18" s="9" t="s">
        <v>137</v>
      </c>
      <c r="J18" s="6" t="s">
        <v>66</v>
      </c>
      <c r="K18" s="6" t="s">
        <v>66</v>
      </c>
      <c r="L18" s="6" t="s">
        <v>66</v>
      </c>
      <c r="M18" s="6"/>
    </row>
    <row r="19" spans="1:13" x14ac:dyDescent="0.3">
      <c r="A19" s="9" t="s">
        <v>12</v>
      </c>
      <c r="B19" s="9">
        <v>18</v>
      </c>
      <c r="C19" s="9" t="s">
        <v>138</v>
      </c>
      <c r="D19" s="9" t="s">
        <v>139</v>
      </c>
      <c r="E19" s="9" t="s">
        <v>140</v>
      </c>
      <c r="F19" s="9" t="s">
        <v>62</v>
      </c>
      <c r="G19" s="9" t="s">
        <v>80</v>
      </c>
      <c r="H19" s="9" t="s">
        <v>136</v>
      </c>
      <c r="I19" s="9" t="s">
        <v>141</v>
      </c>
      <c r="J19" s="6" t="s">
        <v>66</v>
      </c>
      <c r="K19" s="6" t="s">
        <v>66</v>
      </c>
      <c r="L19" s="6" t="s">
        <v>66</v>
      </c>
      <c r="M19" s="6"/>
    </row>
    <row r="20" spans="1:13" x14ac:dyDescent="0.3">
      <c r="A20" s="9" t="s">
        <v>12</v>
      </c>
      <c r="B20" s="9">
        <v>19</v>
      </c>
      <c r="C20" s="9" t="s">
        <v>142</v>
      </c>
      <c r="D20" s="9" t="s">
        <v>143</v>
      </c>
      <c r="E20" s="9" t="s">
        <v>144</v>
      </c>
      <c r="F20" s="9" t="s">
        <v>62</v>
      </c>
      <c r="G20" s="9" t="s">
        <v>80</v>
      </c>
      <c r="H20" s="9" t="s">
        <v>140</v>
      </c>
      <c r="I20" s="9" t="s">
        <v>145</v>
      </c>
      <c r="J20" s="6" t="s">
        <v>66</v>
      </c>
      <c r="K20" s="6" t="s">
        <v>66</v>
      </c>
      <c r="L20" s="6" t="s">
        <v>66</v>
      </c>
      <c r="M20" s="6"/>
    </row>
    <row r="21" spans="1:13" x14ac:dyDescent="0.3">
      <c r="A21" s="9" t="s">
        <v>12</v>
      </c>
      <c r="B21" s="9">
        <v>20</v>
      </c>
      <c r="C21" s="9" t="s">
        <v>146</v>
      </c>
      <c r="D21" s="9" t="s">
        <v>147</v>
      </c>
      <c r="E21" s="9" t="s">
        <v>148</v>
      </c>
      <c r="F21" s="9" t="s">
        <v>62</v>
      </c>
      <c r="G21" s="9" t="s">
        <v>80</v>
      </c>
      <c r="H21" s="9" t="s">
        <v>144</v>
      </c>
      <c r="I21" s="9" t="s">
        <v>149</v>
      </c>
      <c r="J21" s="6" t="s">
        <v>66</v>
      </c>
      <c r="K21" s="6" t="s">
        <v>66</v>
      </c>
      <c r="L21" s="6" t="s">
        <v>66</v>
      </c>
      <c r="M21" s="6"/>
    </row>
    <row r="22" spans="1:13" x14ac:dyDescent="0.3">
      <c r="A22" s="9" t="s">
        <v>12</v>
      </c>
      <c r="B22" s="9">
        <v>21</v>
      </c>
      <c r="C22" s="9" t="s">
        <v>150</v>
      </c>
      <c r="D22" s="9" t="s">
        <v>151</v>
      </c>
      <c r="E22" s="9" t="s">
        <v>152</v>
      </c>
      <c r="F22" s="9" t="s">
        <v>62</v>
      </c>
      <c r="G22" s="9" t="s">
        <v>80</v>
      </c>
      <c r="H22" s="9" t="s">
        <v>148</v>
      </c>
      <c r="I22" s="9" t="s">
        <v>153</v>
      </c>
      <c r="J22" s="6" t="s">
        <v>66</v>
      </c>
      <c r="K22" s="6" t="s">
        <v>66</v>
      </c>
      <c r="L22" s="6" t="s">
        <v>66</v>
      </c>
      <c r="M22" s="6"/>
    </row>
    <row r="23" spans="1:13" x14ac:dyDescent="0.3">
      <c r="A23" s="9" t="s">
        <v>12</v>
      </c>
      <c r="B23" s="9">
        <v>22</v>
      </c>
      <c r="C23" s="9" t="s">
        <v>154</v>
      </c>
      <c r="D23" s="9" t="s">
        <v>155</v>
      </c>
      <c r="E23" s="9" t="s">
        <v>64</v>
      </c>
      <c r="F23" s="9" t="s">
        <v>62</v>
      </c>
      <c r="G23" s="9" t="s">
        <v>80</v>
      </c>
      <c r="H23" s="9" t="s">
        <v>152</v>
      </c>
      <c r="I23" s="9" t="s">
        <v>156</v>
      </c>
      <c r="J23" s="6" t="s">
        <v>66</v>
      </c>
      <c r="K23" s="6" t="s">
        <v>66</v>
      </c>
      <c r="L23" s="6" t="s">
        <v>66</v>
      </c>
      <c r="M23" s="6"/>
    </row>
    <row r="24" spans="1:13" x14ac:dyDescent="0.3">
      <c r="A24" s="9" t="s">
        <v>12</v>
      </c>
      <c r="B24" s="9">
        <v>23</v>
      </c>
      <c r="C24" s="9" t="s">
        <v>157</v>
      </c>
      <c r="D24" s="9" t="s">
        <v>158</v>
      </c>
      <c r="E24" s="9" t="s">
        <v>159</v>
      </c>
      <c r="F24" s="9" t="s">
        <v>62</v>
      </c>
      <c r="G24" s="9" t="s">
        <v>80</v>
      </c>
      <c r="H24" s="9" t="s">
        <v>64</v>
      </c>
      <c r="I24" s="9" t="s">
        <v>160</v>
      </c>
      <c r="J24" s="6" t="s">
        <v>66</v>
      </c>
      <c r="K24" s="6" t="s">
        <v>66</v>
      </c>
      <c r="L24" s="6" t="s">
        <v>66</v>
      </c>
      <c r="M24" s="6"/>
    </row>
    <row r="25" spans="1:13" x14ac:dyDescent="0.3">
      <c r="A25" s="9" t="s">
        <v>12</v>
      </c>
      <c r="B25" s="9">
        <v>24</v>
      </c>
      <c r="C25" s="9" t="s">
        <v>161</v>
      </c>
      <c r="D25" s="9" t="s">
        <v>162</v>
      </c>
      <c r="E25" s="9" t="s">
        <v>163</v>
      </c>
      <c r="F25" s="9" t="s">
        <v>62</v>
      </c>
      <c r="G25" s="9" t="s">
        <v>80</v>
      </c>
      <c r="H25" s="9" t="s">
        <v>159</v>
      </c>
      <c r="I25" s="9" t="s">
        <v>164</v>
      </c>
      <c r="J25" s="6" t="s">
        <v>66</v>
      </c>
      <c r="K25" s="6" t="s">
        <v>66</v>
      </c>
      <c r="L25" s="6" t="s">
        <v>66</v>
      </c>
      <c r="M25" s="6"/>
    </row>
    <row r="26" spans="1:13" x14ac:dyDescent="0.3">
      <c r="A26" s="11" t="s">
        <v>354</v>
      </c>
      <c r="B26" s="7">
        <v>1</v>
      </c>
      <c r="C26" s="7" t="s">
        <v>165</v>
      </c>
      <c r="D26" s="7" t="s">
        <v>128</v>
      </c>
      <c r="E26" s="7" t="s">
        <v>166</v>
      </c>
      <c r="F26" s="7" t="s">
        <v>62</v>
      </c>
      <c r="G26" s="7" t="s">
        <v>73</v>
      </c>
      <c r="H26" s="7"/>
      <c r="I26" s="7"/>
      <c r="J26" s="8" t="s">
        <v>66</v>
      </c>
      <c r="K26" s="8" t="s">
        <v>66</v>
      </c>
      <c r="L26" s="8" t="s">
        <v>66</v>
      </c>
      <c r="M26" s="8"/>
    </row>
    <row r="27" spans="1:13" x14ac:dyDescent="0.3">
      <c r="A27" s="9" t="s">
        <v>14</v>
      </c>
      <c r="B27" s="9">
        <v>2</v>
      </c>
      <c r="C27" s="9" t="s">
        <v>131</v>
      </c>
      <c r="D27" s="9" t="s">
        <v>60</v>
      </c>
      <c r="E27" s="9" t="s">
        <v>167</v>
      </c>
      <c r="F27" s="9" t="s">
        <v>62</v>
      </c>
      <c r="G27" s="9" t="s">
        <v>80</v>
      </c>
      <c r="H27" s="9" t="s">
        <v>166</v>
      </c>
      <c r="I27" s="9" t="s">
        <v>168</v>
      </c>
      <c r="J27" s="6" t="s">
        <v>66</v>
      </c>
      <c r="K27" s="6" t="s">
        <v>66</v>
      </c>
      <c r="L27" s="6" t="s">
        <v>66</v>
      </c>
      <c r="M27" s="6"/>
    </row>
    <row r="28" spans="1:13" x14ac:dyDescent="0.3">
      <c r="A28" s="9" t="s">
        <v>14</v>
      </c>
      <c r="B28" s="9">
        <v>3</v>
      </c>
      <c r="C28" s="9" t="s">
        <v>134</v>
      </c>
      <c r="D28" s="9" t="s">
        <v>135</v>
      </c>
      <c r="E28" s="9" t="s">
        <v>169</v>
      </c>
      <c r="F28" s="9" t="s">
        <v>62</v>
      </c>
      <c r="G28" s="9" t="s">
        <v>80</v>
      </c>
      <c r="H28" s="9" t="s">
        <v>167</v>
      </c>
      <c r="I28" s="9" t="s">
        <v>170</v>
      </c>
      <c r="J28" s="6" t="s">
        <v>66</v>
      </c>
      <c r="K28" s="6" t="s">
        <v>66</v>
      </c>
      <c r="L28" s="6" t="s">
        <v>66</v>
      </c>
      <c r="M28" s="6"/>
    </row>
    <row r="29" spans="1:13" x14ac:dyDescent="0.3">
      <c r="A29" s="9" t="s">
        <v>14</v>
      </c>
      <c r="B29" s="9">
        <v>4</v>
      </c>
      <c r="C29" s="9" t="s">
        <v>138</v>
      </c>
      <c r="D29" s="9" t="s">
        <v>139</v>
      </c>
      <c r="E29" s="9" t="s">
        <v>171</v>
      </c>
      <c r="F29" s="9" t="s">
        <v>62</v>
      </c>
      <c r="G29" s="9" t="s">
        <v>80</v>
      </c>
      <c r="H29" s="9" t="s">
        <v>169</v>
      </c>
      <c r="I29" s="9" t="s">
        <v>172</v>
      </c>
      <c r="J29" s="6" t="s">
        <v>66</v>
      </c>
      <c r="K29" s="6" t="s">
        <v>66</v>
      </c>
      <c r="L29" s="6" t="s">
        <v>66</v>
      </c>
      <c r="M29" s="6"/>
    </row>
    <row r="30" spans="1:13" x14ac:dyDescent="0.3">
      <c r="A30" s="9" t="s">
        <v>14</v>
      </c>
      <c r="B30" s="9">
        <v>5</v>
      </c>
      <c r="C30" s="9" t="s">
        <v>142</v>
      </c>
      <c r="D30" s="9" t="s">
        <v>143</v>
      </c>
      <c r="E30" s="9" t="s">
        <v>173</v>
      </c>
      <c r="F30" s="9" t="s">
        <v>62</v>
      </c>
      <c r="G30" s="9" t="s">
        <v>80</v>
      </c>
      <c r="H30" s="9" t="s">
        <v>171</v>
      </c>
      <c r="I30" s="9" t="s">
        <v>174</v>
      </c>
      <c r="J30" s="6" t="s">
        <v>66</v>
      </c>
      <c r="K30" s="6" t="s">
        <v>66</v>
      </c>
      <c r="L30" s="6" t="s">
        <v>66</v>
      </c>
      <c r="M30" s="6"/>
    </row>
    <row r="31" spans="1:13" x14ac:dyDescent="0.3">
      <c r="A31" s="9" t="s">
        <v>14</v>
      </c>
      <c r="B31" s="9">
        <v>6</v>
      </c>
      <c r="C31" s="9" t="s">
        <v>146</v>
      </c>
      <c r="D31" s="9" t="s">
        <v>147</v>
      </c>
      <c r="E31" s="9" t="s">
        <v>175</v>
      </c>
      <c r="F31" s="9" t="s">
        <v>62</v>
      </c>
      <c r="G31" s="9" t="s">
        <v>80</v>
      </c>
      <c r="H31" s="9" t="s">
        <v>173</v>
      </c>
      <c r="I31" s="9" t="s">
        <v>176</v>
      </c>
      <c r="J31" s="6" t="s">
        <v>66</v>
      </c>
      <c r="K31" s="6" t="s">
        <v>66</v>
      </c>
      <c r="L31" s="6" t="s">
        <v>66</v>
      </c>
      <c r="M31" s="6"/>
    </row>
    <row r="32" spans="1:13" x14ac:dyDescent="0.3">
      <c r="A32" s="9" t="s">
        <v>14</v>
      </c>
      <c r="B32" s="9">
        <v>7</v>
      </c>
      <c r="C32" s="9" t="s">
        <v>150</v>
      </c>
      <c r="D32" s="9" t="s">
        <v>151</v>
      </c>
      <c r="E32" s="9" t="s">
        <v>177</v>
      </c>
      <c r="F32" s="9" t="s">
        <v>62</v>
      </c>
      <c r="G32" s="9" t="s">
        <v>80</v>
      </c>
      <c r="H32" s="9" t="s">
        <v>175</v>
      </c>
      <c r="I32" s="9" t="s">
        <v>178</v>
      </c>
      <c r="J32" s="6" t="s">
        <v>66</v>
      </c>
      <c r="K32" s="6" t="s">
        <v>66</v>
      </c>
      <c r="L32" s="6" t="s">
        <v>66</v>
      </c>
      <c r="M32" s="6"/>
    </row>
    <row r="33" spans="1:13" x14ac:dyDescent="0.3">
      <c r="A33" s="9" t="s">
        <v>14</v>
      </c>
      <c r="B33" s="9">
        <v>8</v>
      </c>
      <c r="C33" s="9" t="s">
        <v>154</v>
      </c>
      <c r="D33" s="9" t="s">
        <v>162</v>
      </c>
      <c r="E33" s="9" t="s">
        <v>179</v>
      </c>
      <c r="F33" s="9" t="s">
        <v>62</v>
      </c>
      <c r="G33" s="9" t="s">
        <v>80</v>
      </c>
      <c r="H33" s="9" t="s">
        <v>177</v>
      </c>
      <c r="I33" s="9" t="s">
        <v>180</v>
      </c>
      <c r="J33" s="6" t="s">
        <v>66</v>
      </c>
      <c r="K33" s="6" t="s">
        <v>66</v>
      </c>
      <c r="L33" s="6" t="s">
        <v>66</v>
      </c>
      <c r="M33" s="6"/>
    </row>
    <row r="34" spans="1:13" x14ac:dyDescent="0.3">
      <c r="A34" s="11" t="s">
        <v>353</v>
      </c>
      <c r="B34" s="7">
        <v>1</v>
      </c>
      <c r="C34" s="7" t="s">
        <v>181</v>
      </c>
      <c r="D34" s="7" t="s">
        <v>182</v>
      </c>
      <c r="E34" s="7" t="s">
        <v>148</v>
      </c>
      <c r="F34" s="7" t="s">
        <v>62</v>
      </c>
      <c r="G34" s="7" t="s">
        <v>73</v>
      </c>
      <c r="H34" s="7"/>
      <c r="I34" s="7"/>
      <c r="J34" s="8" t="s">
        <v>66</v>
      </c>
      <c r="K34" s="8" t="s">
        <v>66</v>
      </c>
      <c r="L34" s="8" t="s">
        <v>66</v>
      </c>
      <c r="M34" s="8"/>
    </row>
    <row r="35" spans="1:13" x14ac:dyDescent="0.3">
      <c r="A35" s="9" t="s">
        <v>16</v>
      </c>
      <c r="B35" s="9">
        <v>2</v>
      </c>
      <c r="C35" s="9" t="s">
        <v>183</v>
      </c>
      <c r="D35" s="9" t="s">
        <v>184</v>
      </c>
      <c r="E35" s="9" t="s">
        <v>64</v>
      </c>
      <c r="F35" s="9" t="s">
        <v>62</v>
      </c>
      <c r="G35" s="9" t="s">
        <v>80</v>
      </c>
      <c r="H35" s="9" t="s">
        <v>148</v>
      </c>
      <c r="I35" s="9" t="s">
        <v>185</v>
      </c>
      <c r="J35" s="6" t="s">
        <v>66</v>
      </c>
      <c r="K35" s="6" t="s">
        <v>66</v>
      </c>
      <c r="L35" s="6" t="s">
        <v>66</v>
      </c>
      <c r="M35" s="6"/>
    </row>
    <row r="36" spans="1:13" x14ac:dyDescent="0.3">
      <c r="A36" s="9" t="s">
        <v>16</v>
      </c>
      <c r="B36" s="9">
        <v>3</v>
      </c>
      <c r="C36" s="9" t="s">
        <v>186</v>
      </c>
      <c r="D36" s="9" t="s">
        <v>187</v>
      </c>
      <c r="E36" s="9" t="s">
        <v>188</v>
      </c>
      <c r="F36" s="9" t="s">
        <v>189</v>
      </c>
      <c r="G36" s="9" t="s">
        <v>190</v>
      </c>
      <c r="H36" s="9" t="s">
        <v>64</v>
      </c>
      <c r="I36" s="9"/>
      <c r="J36" s="6" t="s">
        <v>66</v>
      </c>
      <c r="K36" s="6" t="s">
        <v>66</v>
      </c>
      <c r="L36" s="6" t="s">
        <v>66</v>
      </c>
      <c r="M36" s="6"/>
    </row>
    <row r="37" spans="1:13" x14ac:dyDescent="0.3">
      <c r="A37" s="9" t="s">
        <v>16</v>
      </c>
      <c r="B37" s="9">
        <v>4</v>
      </c>
      <c r="C37" s="9" t="s">
        <v>59</v>
      </c>
      <c r="D37" s="9" t="s">
        <v>60</v>
      </c>
      <c r="E37" s="9" t="s">
        <v>61</v>
      </c>
      <c r="F37" s="9" t="s">
        <v>62</v>
      </c>
      <c r="G37" s="9" t="s">
        <v>63</v>
      </c>
      <c r="H37" s="9" t="s">
        <v>64</v>
      </c>
      <c r="I37" s="9" t="s">
        <v>65</v>
      </c>
      <c r="J37" s="6" t="s">
        <v>66</v>
      </c>
      <c r="K37" s="6" t="s">
        <v>66</v>
      </c>
      <c r="L37" s="6" t="s">
        <v>66</v>
      </c>
      <c r="M37" s="6"/>
    </row>
    <row r="38" spans="1:13" x14ac:dyDescent="0.3">
      <c r="A38" s="9" t="s">
        <v>16</v>
      </c>
      <c r="B38" s="9">
        <v>5</v>
      </c>
      <c r="C38" s="9" t="s">
        <v>134</v>
      </c>
      <c r="D38" s="9" t="s">
        <v>135</v>
      </c>
      <c r="E38" s="9" t="s">
        <v>191</v>
      </c>
      <c r="F38" s="9" t="s">
        <v>62</v>
      </c>
      <c r="G38" s="9" t="s">
        <v>80</v>
      </c>
      <c r="H38" s="9" t="s">
        <v>61</v>
      </c>
      <c r="I38" s="9" t="s">
        <v>192</v>
      </c>
      <c r="J38" s="6" t="s">
        <v>66</v>
      </c>
      <c r="K38" s="6" t="s">
        <v>66</v>
      </c>
      <c r="L38" s="6" t="s">
        <v>66</v>
      </c>
      <c r="M38" s="6"/>
    </row>
    <row r="39" spans="1:13" x14ac:dyDescent="0.3">
      <c r="A39" s="9" t="s">
        <v>16</v>
      </c>
      <c r="B39" s="9">
        <v>6</v>
      </c>
      <c r="C39" s="9" t="s">
        <v>138</v>
      </c>
      <c r="D39" s="9" t="s">
        <v>139</v>
      </c>
      <c r="E39" s="9" t="s">
        <v>193</v>
      </c>
      <c r="F39" s="9" t="s">
        <v>62</v>
      </c>
      <c r="G39" s="9" t="s">
        <v>80</v>
      </c>
      <c r="H39" s="9" t="s">
        <v>191</v>
      </c>
      <c r="I39" s="9" t="s">
        <v>194</v>
      </c>
      <c r="J39" s="6" t="s">
        <v>66</v>
      </c>
      <c r="K39" s="6" t="s">
        <v>66</v>
      </c>
      <c r="L39" s="6" t="s">
        <v>66</v>
      </c>
      <c r="M39" s="6"/>
    </row>
    <row r="40" spans="1:13" x14ac:dyDescent="0.3">
      <c r="A40" s="9" t="s">
        <v>16</v>
      </c>
      <c r="B40" s="9">
        <v>7</v>
      </c>
      <c r="C40" s="9" t="s">
        <v>142</v>
      </c>
      <c r="D40" s="9" t="s">
        <v>143</v>
      </c>
      <c r="E40" s="9" t="s">
        <v>195</v>
      </c>
      <c r="F40" s="9" t="s">
        <v>62</v>
      </c>
      <c r="G40" s="9" t="s">
        <v>89</v>
      </c>
      <c r="H40" s="9" t="s">
        <v>193</v>
      </c>
      <c r="I40" s="9" t="s">
        <v>196</v>
      </c>
      <c r="J40" s="6" t="s">
        <v>66</v>
      </c>
      <c r="K40" s="6" t="s">
        <v>66</v>
      </c>
      <c r="L40" s="6" t="s">
        <v>66</v>
      </c>
      <c r="M40" s="6"/>
    </row>
    <row r="41" spans="1:13" x14ac:dyDescent="0.3">
      <c r="A41" s="9" t="s">
        <v>16</v>
      </c>
      <c r="B41" s="9">
        <v>8</v>
      </c>
      <c r="C41" s="9" t="s">
        <v>146</v>
      </c>
      <c r="D41" s="9" t="s">
        <v>147</v>
      </c>
      <c r="E41" s="9" t="s">
        <v>197</v>
      </c>
      <c r="F41" s="9" t="s">
        <v>62</v>
      </c>
      <c r="G41" s="9" t="s">
        <v>80</v>
      </c>
      <c r="H41" s="9" t="s">
        <v>195</v>
      </c>
      <c r="I41" s="9" t="s">
        <v>198</v>
      </c>
      <c r="J41" s="6" t="s">
        <v>66</v>
      </c>
      <c r="K41" s="6" t="s">
        <v>66</v>
      </c>
      <c r="L41" s="6" t="s">
        <v>66</v>
      </c>
      <c r="M41" s="6"/>
    </row>
    <row r="42" spans="1:13" x14ac:dyDescent="0.3">
      <c r="A42" s="9" t="s">
        <v>16</v>
      </c>
      <c r="B42" s="9">
        <v>9</v>
      </c>
      <c r="C42" s="9" t="s">
        <v>150</v>
      </c>
      <c r="D42" s="9" t="s">
        <v>151</v>
      </c>
      <c r="E42" s="9" t="s">
        <v>199</v>
      </c>
      <c r="F42" s="9" t="s">
        <v>62</v>
      </c>
      <c r="G42" s="9" t="s">
        <v>80</v>
      </c>
      <c r="H42" s="9" t="s">
        <v>197</v>
      </c>
      <c r="I42" s="9" t="s">
        <v>200</v>
      </c>
      <c r="J42" s="6" t="s">
        <v>66</v>
      </c>
      <c r="K42" s="6" t="s">
        <v>66</v>
      </c>
      <c r="L42" s="6" t="s">
        <v>66</v>
      </c>
      <c r="M42" s="6"/>
    </row>
    <row r="43" spans="1:13" x14ac:dyDescent="0.3">
      <c r="A43" s="9" t="s">
        <v>16</v>
      </c>
      <c r="B43" s="9">
        <v>10</v>
      </c>
      <c r="C43" s="9" t="s">
        <v>154</v>
      </c>
      <c r="D43" s="9" t="s">
        <v>155</v>
      </c>
      <c r="E43" s="9" t="s">
        <v>201</v>
      </c>
      <c r="F43" s="9" t="s">
        <v>62</v>
      </c>
      <c r="G43" s="9" t="s">
        <v>80</v>
      </c>
      <c r="H43" s="9" t="s">
        <v>199</v>
      </c>
      <c r="I43" s="9" t="s">
        <v>202</v>
      </c>
      <c r="J43" s="6" t="s">
        <v>66</v>
      </c>
      <c r="K43" s="6" t="s">
        <v>66</v>
      </c>
      <c r="L43" s="6" t="s">
        <v>66</v>
      </c>
      <c r="M43" s="6"/>
    </row>
    <row r="44" spans="1:13" x14ac:dyDescent="0.3">
      <c r="A44" s="9" t="s">
        <v>16</v>
      </c>
      <c r="B44" s="9">
        <v>11</v>
      </c>
      <c r="C44" s="9" t="s">
        <v>157</v>
      </c>
      <c r="D44" s="9" t="s">
        <v>158</v>
      </c>
      <c r="E44" s="9" t="s">
        <v>203</v>
      </c>
      <c r="F44" s="9" t="s">
        <v>62</v>
      </c>
      <c r="G44" s="9" t="s">
        <v>80</v>
      </c>
      <c r="H44" s="9" t="s">
        <v>201</v>
      </c>
      <c r="I44" s="9" t="s">
        <v>204</v>
      </c>
      <c r="J44" s="6" t="s">
        <v>66</v>
      </c>
      <c r="K44" s="6" t="s">
        <v>66</v>
      </c>
      <c r="L44" s="6" t="s">
        <v>66</v>
      </c>
      <c r="M44" s="6"/>
    </row>
    <row r="45" spans="1:13" x14ac:dyDescent="0.3">
      <c r="A45" s="9" t="s">
        <v>16</v>
      </c>
      <c r="B45" s="9">
        <v>12</v>
      </c>
      <c r="C45" s="9" t="s">
        <v>161</v>
      </c>
      <c r="D45" s="9" t="s">
        <v>162</v>
      </c>
      <c r="E45" s="9" t="s">
        <v>205</v>
      </c>
      <c r="F45" s="9" t="s">
        <v>62</v>
      </c>
      <c r="G45" s="9" t="s">
        <v>80</v>
      </c>
      <c r="H45" s="9" t="s">
        <v>203</v>
      </c>
      <c r="I45" s="9" t="s">
        <v>206</v>
      </c>
      <c r="J45" s="6" t="s">
        <v>66</v>
      </c>
      <c r="K45" s="6" t="s">
        <v>66</v>
      </c>
      <c r="L45" s="6" t="s">
        <v>66</v>
      </c>
      <c r="M45" s="6"/>
    </row>
    <row r="46" spans="1:13" x14ac:dyDescent="0.3">
      <c r="A46" s="11" t="s">
        <v>352</v>
      </c>
      <c r="B46" s="7">
        <v>1</v>
      </c>
      <c r="C46" s="7" t="s">
        <v>181</v>
      </c>
      <c r="D46" s="7" t="s">
        <v>116</v>
      </c>
      <c r="E46" s="7" t="s">
        <v>207</v>
      </c>
      <c r="F46" s="7" t="s">
        <v>62</v>
      </c>
      <c r="G46" s="7" t="s">
        <v>73</v>
      </c>
      <c r="H46" s="7"/>
      <c r="I46" s="7"/>
      <c r="J46" s="8" t="s">
        <v>66</v>
      </c>
      <c r="K46" s="8" t="s">
        <v>66</v>
      </c>
      <c r="L46" s="8" t="s">
        <v>66</v>
      </c>
      <c r="M46" s="8"/>
    </row>
    <row r="47" spans="1:13" x14ac:dyDescent="0.3">
      <c r="A47" s="9" t="s">
        <v>19</v>
      </c>
      <c r="B47" s="9">
        <v>2</v>
      </c>
      <c r="C47" s="9" t="s">
        <v>119</v>
      </c>
      <c r="D47" s="9" t="s">
        <v>120</v>
      </c>
      <c r="E47" s="9" t="s">
        <v>208</v>
      </c>
      <c r="F47" s="9" t="s">
        <v>62</v>
      </c>
      <c r="G47" s="9" t="s">
        <v>89</v>
      </c>
      <c r="H47" s="9" t="s">
        <v>207</v>
      </c>
      <c r="I47" s="9" t="s">
        <v>209</v>
      </c>
      <c r="J47" s="6" t="s">
        <v>66</v>
      </c>
      <c r="K47" s="6" t="s">
        <v>66</v>
      </c>
      <c r="L47" s="6" t="s">
        <v>66</v>
      </c>
      <c r="M47" s="6"/>
    </row>
    <row r="48" spans="1:13" x14ac:dyDescent="0.3">
      <c r="A48" s="9" t="s">
        <v>19</v>
      </c>
      <c r="B48" s="9">
        <v>3</v>
      </c>
      <c r="C48" s="9" t="s">
        <v>123</v>
      </c>
      <c r="D48" s="9" t="s">
        <v>124</v>
      </c>
      <c r="E48" s="9" t="s">
        <v>210</v>
      </c>
      <c r="F48" s="9" t="s">
        <v>62</v>
      </c>
      <c r="G48" s="9" t="s">
        <v>80</v>
      </c>
      <c r="H48" s="9" t="s">
        <v>208</v>
      </c>
      <c r="I48" s="9" t="s">
        <v>211</v>
      </c>
      <c r="J48" s="6" t="s">
        <v>66</v>
      </c>
      <c r="K48" s="6" t="s">
        <v>66</v>
      </c>
      <c r="L48" s="6" t="s">
        <v>66</v>
      </c>
      <c r="M48" s="6"/>
    </row>
    <row r="49" spans="1:13" x14ac:dyDescent="0.3">
      <c r="A49" s="9" t="s">
        <v>19</v>
      </c>
      <c r="B49" s="9">
        <v>4</v>
      </c>
      <c r="C49" s="9" t="s">
        <v>127</v>
      </c>
      <c r="D49" s="9" t="s">
        <v>128</v>
      </c>
      <c r="E49" s="9" t="s">
        <v>175</v>
      </c>
      <c r="F49" s="9" t="s">
        <v>62</v>
      </c>
      <c r="G49" s="9" t="s">
        <v>80</v>
      </c>
      <c r="H49" s="9" t="s">
        <v>210</v>
      </c>
      <c r="I49" s="9" t="s">
        <v>212</v>
      </c>
      <c r="J49" s="6" t="s">
        <v>66</v>
      </c>
      <c r="K49" s="6" t="s">
        <v>66</v>
      </c>
      <c r="L49" s="6" t="s">
        <v>66</v>
      </c>
      <c r="M49" s="6"/>
    </row>
    <row r="50" spans="1:13" x14ac:dyDescent="0.3">
      <c r="A50" s="9" t="s">
        <v>19</v>
      </c>
      <c r="B50" s="9">
        <v>5</v>
      </c>
      <c r="C50" s="9" t="s">
        <v>131</v>
      </c>
      <c r="D50" s="9" t="s">
        <v>60</v>
      </c>
      <c r="E50" s="9" t="s">
        <v>213</v>
      </c>
      <c r="F50" s="9" t="s">
        <v>62</v>
      </c>
      <c r="G50" s="9" t="s">
        <v>80</v>
      </c>
      <c r="H50" s="9" t="s">
        <v>175</v>
      </c>
      <c r="I50" s="9" t="s">
        <v>214</v>
      </c>
      <c r="J50" s="6" t="s">
        <v>66</v>
      </c>
      <c r="K50" s="6" t="s">
        <v>66</v>
      </c>
      <c r="L50" s="6" t="s">
        <v>66</v>
      </c>
      <c r="M50" s="6"/>
    </row>
    <row r="51" spans="1:13" x14ac:dyDescent="0.3">
      <c r="A51" s="9" t="s">
        <v>19</v>
      </c>
      <c r="B51" s="9">
        <v>6</v>
      </c>
      <c r="C51" s="9" t="s">
        <v>134</v>
      </c>
      <c r="D51" s="9" t="s">
        <v>135</v>
      </c>
      <c r="E51" s="9" t="s">
        <v>215</v>
      </c>
      <c r="F51" s="9" t="s">
        <v>62</v>
      </c>
      <c r="G51" s="9" t="s">
        <v>80</v>
      </c>
      <c r="H51" s="9" t="s">
        <v>213</v>
      </c>
      <c r="I51" s="9" t="s">
        <v>216</v>
      </c>
      <c r="J51" s="6" t="s">
        <v>66</v>
      </c>
      <c r="K51" s="6" t="s">
        <v>66</v>
      </c>
      <c r="L51" s="6" t="s">
        <v>66</v>
      </c>
      <c r="M51" s="6"/>
    </row>
    <row r="52" spans="1:13" x14ac:dyDescent="0.3">
      <c r="A52" s="9" t="s">
        <v>19</v>
      </c>
      <c r="B52" s="9">
        <v>7</v>
      </c>
      <c r="C52" s="9" t="s">
        <v>138</v>
      </c>
      <c r="D52" s="9" t="s">
        <v>139</v>
      </c>
      <c r="E52" s="9" t="s">
        <v>217</v>
      </c>
      <c r="F52" s="9" t="s">
        <v>62</v>
      </c>
      <c r="G52" s="9" t="s">
        <v>80</v>
      </c>
      <c r="H52" s="9" t="s">
        <v>215</v>
      </c>
      <c r="I52" s="9" t="s">
        <v>218</v>
      </c>
      <c r="J52" s="6" t="s">
        <v>66</v>
      </c>
      <c r="K52" s="6" t="s">
        <v>66</v>
      </c>
      <c r="L52" s="6" t="s">
        <v>66</v>
      </c>
      <c r="M52" s="6"/>
    </row>
    <row r="53" spans="1:13" x14ac:dyDescent="0.3">
      <c r="A53" s="9" t="s">
        <v>19</v>
      </c>
      <c r="B53" s="9">
        <v>8</v>
      </c>
      <c r="C53" s="9" t="s">
        <v>142</v>
      </c>
      <c r="D53" s="9" t="s">
        <v>219</v>
      </c>
      <c r="E53" s="9" t="s">
        <v>220</v>
      </c>
      <c r="F53" s="9" t="s">
        <v>62</v>
      </c>
      <c r="G53" s="9" t="s">
        <v>80</v>
      </c>
      <c r="H53" s="9" t="s">
        <v>217</v>
      </c>
      <c r="I53" s="9" t="s">
        <v>221</v>
      </c>
      <c r="J53" s="6" t="s">
        <v>66</v>
      </c>
      <c r="K53" s="6" t="s">
        <v>66</v>
      </c>
      <c r="L53" s="6" t="s">
        <v>66</v>
      </c>
      <c r="M53" s="6"/>
    </row>
    <row r="54" spans="1:13" x14ac:dyDescent="0.3">
      <c r="A54" s="9" t="s">
        <v>19</v>
      </c>
      <c r="B54" s="9">
        <v>9</v>
      </c>
      <c r="C54" s="9" t="s">
        <v>222</v>
      </c>
      <c r="D54" s="9" t="s">
        <v>162</v>
      </c>
      <c r="E54" s="9" t="s">
        <v>188</v>
      </c>
      <c r="F54" s="9" t="s">
        <v>189</v>
      </c>
      <c r="G54" s="9" t="s">
        <v>190</v>
      </c>
      <c r="H54" s="9" t="s">
        <v>220</v>
      </c>
      <c r="I54" s="9"/>
      <c r="J54" s="6" t="s">
        <v>66</v>
      </c>
      <c r="K54" s="6" t="s">
        <v>66</v>
      </c>
      <c r="L54" s="6" t="s">
        <v>66</v>
      </c>
      <c r="M54" s="6"/>
    </row>
    <row r="55" spans="1:13" x14ac:dyDescent="0.3">
      <c r="A55" s="7" t="s">
        <v>21</v>
      </c>
      <c r="B55" s="7">
        <v>1</v>
      </c>
      <c r="C55" s="7" t="s">
        <v>223</v>
      </c>
      <c r="D55" s="7" t="s">
        <v>96</v>
      </c>
      <c r="E55" s="7" t="s">
        <v>224</v>
      </c>
      <c r="F55" s="7" t="s">
        <v>62</v>
      </c>
      <c r="G55" s="7" t="s">
        <v>73</v>
      </c>
      <c r="H55" s="7"/>
      <c r="I55" s="7"/>
      <c r="J55" s="8" t="s">
        <v>66</v>
      </c>
      <c r="K55" s="8" t="s">
        <v>66</v>
      </c>
      <c r="L55" s="8" t="s">
        <v>66</v>
      </c>
      <c r="M55" s="8"/>
    </row>
    <row r="56" spans="1:13" x14ac:dyDescent="0.3">
      <c r="A56" s="9" t="s">
        <v>21</v>
      </c>
      <c r="B56" s="9">
        <v>2</v>
      </c>
      <c r="C56" s="9" t="s">
        <v>99</v>
      </c>
      <c r="D56" s="9" t="s">
        <v>100</v>
      </c>
      <c r="E56" s="9" t="s">
        <v>225</v>
      </c>
      <c r="F56" s="9" t="s">
        <v>62</v>
      </c>
      <c r="G56" s="9" t="s">
        <v>80</v>
      </c>
      <c r="H56" s="9" t="s">
        <v>224</v>
      </c>
      <c r="I56" s="9" t="s">
        <v>226</v>
      </c>
      <c r="J56" s="6" t="s">
        <v>66</v>
      </c>
      <c r="K56" s="6" t="s">
        <v>66</v>
      </c>
      <c r="L56" s="6" t="s">
        <v>66</v>
      </c>
      <c r="M56" s="6"/>
    </row>
    <row r="57" spans="1:13" x14ac:dyDescent="0.3">
      <c r="A57" s="9" t="s">
        <v>21</v>
      </c>
      <c r="B57" s="9">
        <v>3</v>
      </c>
      <c r="C57" s="9" t="s">
        <v>103</v>
      </c>
      <c r="D57" s="9" t="s">
        <v>104</v>
      </c>
      <c r="E57" s="9" t="s">
        <v>227</v>
      </c>
      <c r="F57" s="9" t="s">
        <v>62</v>
      </c>
      <c r="G57" s="9" t="s">
        <v>80</v>
      </c>
      <c r="H57" s="9" t="s">
        <v>225</v>
      </c>
      <c r="I57" s="9" t="s">
        <v>228</v>
      </c>
      <c r="J57" s="6" t="s">
        <v>66</v>
      </c>
      <c r="K57" s="6" t="s">
        <v>66</v>
      </c>
      <c r="L57" s="6" t="s">
        <v>66</v>
      </c>
      <c r="M57" s="6"/>
    </row>
    <row r="58" spans="1:13" x14ac:dyDescent="0.3">
      <c r="A58" s="9" t="s">
        <v>21</v>
      </c>
      <c r="B58" s="9">
        <v>4</v>
      </c>
      <c r="C58" s="9" t="s">
        <v>107</v>
      </c>
      <c r="D58" s="9" t="s">
        <v>108</v>
      </c>
      <c r="E58" s="9" t="s">
        <v>229</v>
      </c>
      <c r="F58" s="9" t="s">
        <v>62</v>
      </c>
      <c r="G58" s="9" t="s">
        <v>80</v>
      </c>
      <c r="H58" s="9" t="s">
        <v>227</v>
      </c>
      <c r="I58" s="9" t="s">
        <v>230</v>
      </c>
      <c r="J58" s="6" t="s">
        <v>66</v>
      </c>
      <c r="K58" s="6" t="s">
        <v>66</v>
      </c>
      <c r="L58" s="6" t="s">
        <v>66</v>
      </c>
      <c r="M58" s="6"/>
    </row>
    <row r="59" spans="1:13" x14ac:dyDescent="0.3">
      <c r="A59" s="9" t="s">
        <v>21</v>
      </c>
      <c r="B59" s="9">
        <v>5</v>
      </c>
      <c r="C59" s="9" t="s">
        <v>111</v>
      </c>
      <c r="D59" s="9" t="s">
        <v>112</v>
      </c>
      <c r="E59" s="9" t="s">
        <v>231</v>
      </c>
      <c r="F59" s="9" t="s">
        <v>62</v>
      </c>
      <c r="G59" s="9" t="s">
        <v>80</v>
      </c>
      <c r="H59" s="9" t="s">
        <v>229</v>
      </c>
      <c r="I59" s="9" t="s">
        <v>232</v>
      </c>
      <c r="J59" s="6" t="s">
        <v>66</v>
      </c>
      <c r="K59" s="6" t="s">
        <v>66</v>
      </c>
      <c r="L59" s="6" t="s">
        <v>66</v>
      </c>
      <c r="M59" s="6"/>
    </row>
    <row r="60" spans="1:13" x14ac:dyDescent="0.3">
      <c r="A60" s="9" t="s">
        <v>21</v>
      </c>
      <c r="B60" s="9">
        <v>6</v>
      </c>
      <c r="C60" s="9" t="s">
        <v>115</v>
      </c>
      <c r="D60" s="9" t="s">
        <v>116</v>
      </c>
      <c r="E60" s="9" t="s">
        <v>233</v>
      </c>
      <c r="F60" s="9" t="s">
        <v>62</v>
      </c>
      <c r="G60" s="9" t="s">
        <v>80</v>
      </c>
      <c r="H60" s="9" t="s">
        <v>231</v>
      </c>
      <c r="I60" s="9" t="s">
        <v>234</v>
      </c>
      <c r="J60" s="6" t="s">
        <v>66</v>
      </c>
      <c r="K60" s="6" t="s">
        <v>66</v>
      </c>
      <c r="L60" s="6" t="s">
        <v>66</v>
      </c>
      <c r="M60" s="6"/>
    </row>
    <row r="61" spans="1:13" x14ac:dyDescent="0.3">
      <c r="A61" s="9" t="s">
        <v>21</v>
      </c>
      <c r="B61" s="9">
        <v>7</v>
      </c>
      <c r="C61" s="9" t="s">
        <v>119</v>
      </c>
      <c r="D61" s="9" t="s">
        <v>235</v>
      </c>
      <c r="E61" s="9" t="s">
        <v>236</v>
      </c>
      <c r="F61" s="9" t="s">
        <v>62</v>
      </c>
      <c r="G61" s="9" t="s">
        <v>80</v>
      </c>
      <c r="H61" s="9" t="s">
        <v>233</v>
      </c>
      <c r="I61" s="9" t="s">
        <v>237</v>
      </c>
      <c r="J61" s="6" t="s">
        <v>66</v>
      </c>
      <c r="K61" s="6" t="s">
        <v>66</v>
      </c>
      <c r="L61" s="6" t="s">
        <v>66</v>
      </c>
      <c r="M61" s="6"/>
    </row>
    <row r="62" spans="1:13" x14ac:dyDescent="0.3">
      <c r="A62" s="9" t="s">
        <v>21</v>
      </c>
      <c r="B62" s="9">
        <v>8</v>
      </c>
      <c r="C62" s="9" t="s">
        <v>238</v>
      </c>
      <c r="D62" s="9" t="s">
        <v>239</v>
      </c>
      <c r="E62" s="9" t="s">
        <v>240</v>
      </c>
      <c r="F62" s="9" t="s">
        <v>241</v>
      </c>
      <c r="G62" s="9" t="s">
        <v>242</v>
      </c>
      <c r="H62" s="9" t="s">
        <v>236</v>
      </c>
      <c r="I62" s="9"/>
      <c r="J62" s="6" t="s">
        <v>66</v>
      </c>
      <c r="K62" s="6" t="s">
        <v>66</v>
      </c>
      <c r="L62" s="6" t="s">
        <v>66</v>
      </c>
      <c r="M62" s="6"/>
    </row>
    <row r="63" spans="1:13" x14ac:dyDescent="0.3">
      <c r="A63" s="9" t="s">
        <v>21</v>
      </c>
      <c r="B63" s="9">
        <v>9</v>
      </c>
      <c r="C63" s="9" t="s">
        <v>243</v>
      </c>
      <c r="D63" s="9" t="s">
        <v>162</v>
      </c>
      <c r="E63" s="9" t="s">
        <v>188</v>
      </c>
      <c r="F63" s="9" t="s">
        <v>189</v>
      </c>
      <c r="G63" s="9" t="s">
        <v>190</v>
      </c>
      <c r="H63" s="9" t="s">
        <v>236</v>
      </c>
      <c r="I63" s="9"/>
      <c r="J63" s="6" t="s">
        <v>66</v>
      </c>
      <c r="K63" s="6" t="s">
        <v>66</v>
      </c>
      <c r="L63" s="6" t="s">
        <v>66</v>
      </c>
      <c r="M63" s="6"/>
    </row>
    <row r="64" spans="1:13" x14ac:dyDescent="0.3">
      <c r="A64" s="7" t="s">
        <v>23</v>
      </c>
      <c r="B64" s="7">
        <v>1</v>
      </c>
      <c r="C64" s="7" t="s">
        <v>243</v>
      </c>
      <c r="D64" s="7" t="s">
        <v>120</v>
      </c>
      <c r="E64" s="7" t="s">
        <v>244</v>
      </c>
      <c r="F64" s="7" t="s">
        <v>62</v>
      </c>
      <c r="G64" s="7" t="s">
        <v>73</v>
      </c>
      <c r="H64" s="7"/>
      <c r="I64" s="7"/>
      <c r="J64" s="8" t="s">
        <v>66</v>
      </c>
      <c r="K64" s="8" t="s">
        <v>66</v>
      </c>
      <c r="L64" s="8" t="s">
        <v>66</v>
      </c>
      <c r="M64" s="8"/>
    </row>
    <row r="65" spans="1:13" x14ac:dyDescent="0.3">
      <c r="A65" s="9" t="s">
        <v>23</v>
      </c>
      <c r="B65" s="9">
        <v>2</v>
      </c>
      <c r="C65" s="9" t="s">
        <v>123</v>
      </c>
      <c r="D65" s="9" t="s">
        <v>124</v>
      </c>
      <c r="E65" s="9" t="s">
        <v>245</v>
      </c>
      <c r="F65" s="9" t="s">
        <v>62</v>
      </c>
      <c r="G65" s="9" t="s">
        <v>80</v>
      </c>
      <c r="H65" s="9" t="s">
        <v>244</v>
      </c>
      <c r="I65" s="9" t="s">
        <v>246</v>
      </c>
      <c r="J65" s="6" t="s">
        <v>66</v>
      </c>
      <c r="K65" s="6" t="s">
        <v>66</v>
      </c>
      <c r="L65" s="6" t="s">
        <v>66</v>
      </c>
      <c r="M65" s="6"/>
    </row>
    <row r="66" spans="1:13" x14ac:dyDescent="0.3">
      <c r="A66" s="9" t="s">
        <v>23</v>
      </c>
      <c r="B66" s="9">
        <v>3</v>
      </c>
      <c r="C66" s="9" t="s">
        <v>127</v>
      </c>
      <c r="D66" s="9" t="s">
        <v>128</v>
      </c>
      <c r="E66" s="9" t="s">
        <v>247</v>
      </c>
      <c r="F66" s="9" t="s">
        <v>62</v>
      </c>
      <c r="G66" s="9" t="s">
        <v>80</v>
      </c>
      <c r="H66" s="9" t="s">
        <v>245</v>
      </c>
      <c r="I66" s="9" t="s">
        <v>248</v>
      </c>
      <c r="J66" s="6" t="s">
        <v>66</v>
      </c>
      <c r="K66" s="6" t="s">
        <v>66</v>
      </c>
      <c r="L66" s="6" t="s">
        <v>66</v>
      </c>
      <c r="M66" s="6"/>
    </row>
    <row r="67" spans="1:13" x14ac:dyDescent="0.3">
      <c r="A67" s="9" t="s">
        <v>23</v>
      </c>
      <c r="B67" s="9">
        <v>4</v>
      </c>
      <c r="C67" s="9" t="s">
        <v>131</v>
      </c>
      <c r="D67" s="9" t="s">
        <v>60</v>
      </c>
      <c r="E67" s="9" t="s">
        <v>249</v>
      </c>
      <c r="F67" s="9" t="s">
        <v>62</v>
      </c>
      <c r="G67" s="9" t="s">
        <v>80</v>
      </c>
      <c r="H67" s="9" t="s">
        <v>247</v>
      </c>
      <c r="I67" s="9" t="s">
        <v>250</v>
      </c>
      <c r="J67" s="6" t="s">
        <v>66</v>
      </c>
      <c r="K67" s="6" t="s">
        <v>66</v>
      </c>
      <c r="L67" s="6" t="s">
        <v>66</v>
      </c>
      <c r="M67" s="6"/>
    </row>
    <row r="68" spans="1:13" x14ac:dyDescent="0.3">
      <c r="A68" s="9" t="s">
        <v>23</v>
      </c>
      <c r="B68" s="9">
        <v>5</v>
      </c>
      <c r="C68" s="9" t="s">
        <v>134</v>
      </c>
      <c r="D68" s="9" t="s">
        <v>135</v>
      </c>
      <c r="E68" s="9" t="s">
        <v>251</v>
      </c>
      <c r="F68" s="9" t="s">
        <v>62</v>
      </c>
      <c r="G68" s="9" t="s">
        <v>80</v>
      </c>
      <c r="H68" s="9" t="s">
        <v>249</v>
      </c>
      <c r="I68" s="9" t="s">
        <v>252</v>
      </c>
      <c r="J68" s="6" t="s">
        <v>66</v>
      </c>
      <c r="K68" s="6" t="s">
        <v>66</v>
      </c>
      <c r="L68" s="6" t="s">
        <v>66</v>
      </c>
      <c r="M68" s="6"/>
    </row>
    <row r="69" spans="1:13" x14ac:dyDescent="0.3">
      <c r="A69" s="9" t="s">
        <v>23</v>
      </c>
      <c r="B69" s="9">
        <v>6</v>
      </c>
      <c r="C69" s="9" t="s">
        <v>138</v>
      </c>
      <c r="D69" s="9" t="s">
        <v>253</v>
      </c>
      <c r="E69" s="9" t="s">
        <v>254</v>
      </c>
      <c r="F69" s="9" t="s">
        <v>62</v>
      </c>
      <c r="G69" s="9" t="s">
        <v>80</v>
      </c>
      <c r="H69" s="9" t="s">
        <v>251</v>
      </c>
      <c r="I69" s="9" t="s">
        <v>255</v>
      </c>
      <c r="J69" s="6" t="s">
        <v>66</v>
      </c>
      <c r="K69" s="6" t="s">
        <v>66</v>
      </c>
      <c r="L69" s="6" t="s">
        <v>66</v>
      </c>
      <c r="M69" s="6"/>
    </row>
    <row r="70" spans="1:13" x14ac:dyDescent="0.3">
      <c r="A70" s="9" t="s">
        <v>23</v>
      </c>
      <c r="B70" s="9">
        <v>7</v>
      </c>
      <c r="C70" s="9" t="s">
        <v>256</v>
      </c>
      <c r="D70" s="9" t="s">
        <v>257</v>
      </c>
      <c r="E70" s="9" t="s">
        <v>240</v>
      </c>
      <c r="F70" s="9" t="s">
        <v>241</v>
      </c>
      <c r="G70" s="9" t="s">
        <v>242</v>
      </c>
      <c r="H70" s="9" t="s">
        <v>254</v>
      </c>
      <c r="I70" s="9"/>
      <c r="J70" s="6" t="s">
        <v>66</v>
      </c>
      <c r="K70" s="6" t="s">
        <v>66</v>
      </c>
      <c r="L70" s="6" t="s">
        <v>66</v>
      </c>
      <c r="M70" s="6"/>
    </row>
    <row r="71" spans="1:13" x14ac:dyDescent="0.3">
      <c r="A71" s="9" t="s">
        <v>23</v>
      </c>
      <c r="B71" s="9">
        <v>8</v>
      </c>
      <c r="C71" s="9" t="s">
        <v>258</v>
      </c>
      <c r="D71" s="9" t="s">
        <v>143</v>
      </c>
      <c r="E71" s="9" t="s">
        <v>240</v>
      </c>
      <c r="F71" s="9" t="s">
        <v>241</v>
      </c>
      <c r="G71" s="9" t="s">
        <v>76</v>
      </c>
      <c r="H71" s="9"/>
      <c r="I71" s="9"/>
      <c r="J71" s="6" t="s">
        <v>66</v>
      </c>
      <c r="K71" s="6" t="s">
        <v>66</v>
      </c>
      <c r="L71" s="6" t="s">
        <v>66</v>
      </c>
      <c r="M71" s="6"/>
    </row>
    <row r="72" spans="1:13" x14ac:dyDescent="0.3">
      <c r="A72" s="9" t="s">
        <v>23</v>
      </c>
      <c r="B72" s="9">
        <v>9</v>
      </c>
      <c r="C72" s="9" t="s">
        <v>146</v>
      </c>
      <c r="D72" s="9" t="s">
        <v>259</v>
      </c>
      <c r="E72" s="9" t="s">
        <v>240</v>
      </c>
      <c r="F72" s="9" t="s">
        <v>241</v>
      </c>
      <c r="G72" s="9" t="s">
        <v>76</v>
      </c>
      <c r="H72" s="9"/>
      <c r="I72" s="9"/>
      <c r="J72" s="6" t="s">
        <v>66</v>
      </c>
      <c r="K72" s="6" t="s">
        <v>66</v>
      </c>
      <c r="L72" s="6" t="s">
        <v>66</v>
      </c>
      <c r="M72" s="6"/>
    </row>
    <row r="73" spans="1:13" x14ac:dyDescent="0.3">
      <c r="A73" s="9" t="s">
        <v>23</v>
      </c>
      <c r="B73" s="9">
        <v>10</v>
      </c>
      <c r="C73" s="9" t="s">
        <v>260</v>
      </c>
      <c r="D73" s="9" t="s">
        <v>261</v>
      </c>
      <c r="E73" s="9" t="s">
        <v>240</v>
      </c>
      <c r="F73" s="9" t="s">
        <v>241</v>
      </c>
      <c r="G73" s="9" t="s">
        <v>76</v>
      </c>
      <c r="H73" s="9"/>
      <c r="I73" s="9"/>
      <c r="J73" s="6" t="s">
        <v>66</v>
      </c>
      <c r="K73" s="6" t="s">
        <v>66</v>
      </c>
      <c r="L73" s="6" t="s">
        <v>66</v>
      </c>
      <c r="M73" s="6"/>
    </row>
    <row r="74" spans="1:13" x14ac:dyDescent="0.3">
      <c r="A74" s="9" t="s">
        <v>23</v>
      </c>
      <c r="B74" s="9">
        <v>11</v>
      </c>
      <c r="C74" s="9" t="s">
        <v>262</v>
      </c>
      <c r="D74" s="9" t="s">
        <v>162</v>
      </c>
      <c r="E74" s="9" t="s">
        <v>240</v>
      </c>
      <c r="F74" s="9" t="s">
        <v>241</v>
      </c>
      <c r="G74" s="9" t="s">
        <v>76</v>
      </c>
      <c r="H74" s="9"/>
      <c r="I74" s="9"/>
      <c r="J74" s="6" t="s">
        <v>66</v>
      </c>
      <c r="K74" s="6" t="s">
        <v>66</v>
      </c>
      <c r="L74" s="6" t="s">
        <v>66</v>
      </c>
      <c r="M74" s="6"/>
    </row>
    <row r="75" spans="1:13" x14ac:dyDescent="0.3">
      <c r="A75" s="11" t="s">
        <v>349</v>
      </c>
      <c r="B75" s="7">
        <v>1</v>
      </c>
      <c r="C75" s="7" t="s">
        <v>263</v>
      </c>
      <c r="D75" s="7" t="s">
        <v>87</v>
      </c>
      <c r="E75" s="7" t="s">
        <v>264</v>
      </c>
      <c r="F75" s="7" t="s">
        <v>62</v>
      </c>
      <c r="G75" s="7" t="s">
        <v>73</v>
      </c>
      <c r="H75" s="7"/>
      <c r="I75" s="7"/>
      <c r="J75" s="8" t="s">
        <v>66</v>
      </c>
      <c r="K75" s="8" t="s">
        <v>66</v>
      </c>
      <c r="L75" s="8" t="s">
        <v>66</v>
      </c>
      <c r="M75" s="8"/>
    </row>
    <row r="76" spans="1:13" x14ac:dyDescent="0.3">
      <c r="A76" s="9" t="s">
        <v>25</v>
      </c>
      <c r="B76" s="9">
        <v>2</v>
      </c>
      <c r="C76" s="9" t="s">
        <v>91</v>
      </c>
      <c r="D76" s="9" t="s">
        <v>100</v>
      </c>
      <c r="E76" s="9" t="s">
        <v>265</v>
      </c>
      <c r="F76" s="9" t="s">
        <v>62</v>
      </c>
      <c r="G76" s="9" t="s">
        <v>80</v>
      </c>
      <c r="H76" s="9" t="s">
        <v>264</v>
      </c>
      <c r="I76" s="9" t="s">
        <v>266</v>
      </c>
      <c r="J76" s="6" t="s">
        <v>66</v>
      </c>
      <c r="K76" s="6" t="s">
        <v>66</v>
      </c>
      <c r="L76" s="6" t="s">
        <v>66</v>
      </c>
      <c r="M76" s="6"/>
    </row>
    <row r="77" spans="1:13" x14ac:dyDescent="0.3">
      <c r="A77" s="9" t="s">
        <v>25</v>
      </c>
      <c r="B77" s="9">
        <v>3</v>
      </c>
      <c r="C77" s="9" t="s">
        <v>103</v>
      </c>
      <c r="D77" s="9" t="s">
        <v>104</v>
      </c>
      <c r="E77" s="9" t="s">
        <v>267</v>
      </c>
      <c r="F77" s="9" t="s">
        <v>62</v>
      </c>
      <c r="G77" s="9" t="s">
        <v>80</v>
      </c>
      <c r="H77" s="9" t="s">
        <v>265</v>
      </c>
      <c r="I77" s="9" t="s">
        <v>268</v>
      </c>
      <c r="J77" s="6" t="s">
        <v>66</v>
      </c>
      <c r="K77" s="6" t="s">
        <v>66</v>
      </c>
      <c r="L77" s="6" t="s">
        <v>66</v>
      </c>
      <c r="M77" s="6"/>
    </row>
    <row r="78" spans="1:13" x14ac:dyDescent="0.3">
      <c r="A78" s="9" t="s">
        <v>25</v>
      </c>
      <c r="B78" s="9">
        <v>4</v>
      </c>
      <c r="C78" s="9" t="s">
        <v>107</v>
      </c>
      <c r="D78" s="9" t="s">
        <v>108</v>
      </c>
      <c r="E78" s="9" t="s">
        <v>269</v>
      </c>
      <c r="F78" s="9" t="s">
        <v>62</v>
      </c>
      <c r="G78" s="9" t="s">
        <v>80</v>
      </c>
      <c r="H78" s="9" t="s">
        <v>267</v>
      </c>
      <c r="I78" s="9" t="s">
        <v>270</v>
      </c>
      <c r="J78" s="6" t="s">
        <v>66</v>
      </c>
      <c r="K78" s="6" t="s">
        <v>66</v>
      </c>
      <c r="L78" s="6" t="s">
        <v>66</v>
      </c>
      <c r="M78" s="6"/>
    </row>
    <row r="79" spans="1:13" x14ac:dyDescent="0.3">
      <c r="A79" s="9" t="s">
        <v>25</v>
      </c>
      <c r="B79" s="9">
        <v>5</v>
      </c>
      <c r="C79" s="9" t="s">
        <v>111</v>
      </c>
      <c r="D79" s="9" t="s">
        <v>271</v>
      </c>
      <c r="E79" s="9" t="s">
        <v>272</v>
      </c>
      <c r="F79" s="9" t="s">
        <v>62</v>
      </c>
      <c r="G79" s="9" t="s">
        <v>80</v>
      </c>
      <c r="H79" s="9" t="s">
        <v>269</v>
      </c>
      <c r="I79" s="9" t="s">
        <v>273</v>
      </c>
      <c r="J79" s="6" t="s">
        <v>66</v>
      </c>
      <c r="K79" s="6" t="s">
        <v>66</v>
      </c>
      <c r="L79" s="6" t="s">
        <v>66</v>
      </c>
      <c r="M79" s="6"/>
    </row>
    <row r="80" spans="1:13" x14ac:dyDescent="0.3">
      <c r="A80" s="9" t="s">
        <v>25</v>
      </c>
      <c r="B80" s="9">
        <v>6</v>
      </c>
      <c r="C80" s="9" t="s">
        <v>274</v>
      </c>
      <c r="D80" s="9" t="s">
        <v>275</v>
      </c>
      <c r="E80" s="9" t="s">
        <v>276</v>
      </c>
      <c r="F80" s="9" t="s">
        <v>62</v>
      </c>
      <c r="G80" s="9" t="s">
        <v>80</v>
      </c>
      <c r="H80" s="9" t="s">
        <v>272</v>
      </c>
      <c r="I80" s="9" t="s">
        <v>277</v>
      </c>
      <c r="J80" s="6" t="s">
        <v>66</v>
      </c>
      <c r="K80" s="6" t="s">
        <v>66</v>
      </c>
      <c r="L80" s="6" t="s">
        <v>66</v>
      </c>
      <c r="M80" s="6"/>
    </row>
    <row r="81" spans="1:13" x14ac:dyDescent="0.3">
      <c r="A81" s="9" t="s">
        <v>25</v>
      </c>
      <c r="B81" s="9">
        <v>7</v>
      </c>
      <c r="C81" s="9" t="s">
        <v>278</v>
      </c>
      <c r="D81" s="9" t="s">
        <v>162</v>
      </c>
      <c r="E81" s="9" t="s">
        <v>188</v>
      </c>
      <c r="F81" s="9" t="s">
        <v>189</v>
      </c>
      <c r="G81" s="9" t="s">
        <v>190</v>
      </c>
      <c r="H81" s="9" t="s">
        <v>276</v>
      </c>
      <c r="I81" s="9"/>
      <c r="J81" s="6" t="s">
        <v>66</v>
      </c>
      <c r="K81" s="6" t="s">
        <v>66</v>
      </c>
      <c r="L81" s="6" t="s">
        <v>66</v>
      </c>
      <c r="M81" s="6"/>
    </row>
    <row r="82" spans="1:13" x14ac:dyDescent="0.3">
      <c r="A82" s="7" t="s">
        <v>27</v>
      </c>
      <c r="B82" s="7">
        <v>1</v>
      </c>
      <c r="C82" s="7" t="s">
        <v>186</v>
      </c>
      <c r="D82" s="7" t="s">
        <v>120</v>
      </c>
      <c r="E82" s="7" t="s">
        <v>279</v>
      </c>
      <c r="F82" s="7" t="s">
        <v>62</v>
      </c>
      <c r="G82" s="7" t="s">
        <v>73</v>
      </c>
      <c r="H82" s="7"/>
      <c r="I82" s="7"/>
      <c r="J82" s="8" t="s">
        <v>66</v>
      </c>
      <c r="K82" s="8" t="s">
        <v>66</v>
      </c>
      <c r="L82" s="8" t="s">
        <v>66</v>
      </c>
      <c r="M82" s="8"/>
    </row>
    <row r="83" spans="1:13" x14ac:dyDescent="0.3">
      <c r="A83" s="9" t="s">
        <v>27</v>
      </c>
      <c r="B83" s="9">
        <v>2</v>
      </c>
      <c r="C83" s="9" t="s">
        <v>123</v>
      </c>
      <c r="D83" s="9" t="s">
        <v>124</v>
      </c>
      <c r="E83" s="9" t="s">
        <v>280</v>
      </c>
      <c r="F83" s="9" t="s">
        <v>62</v>
      </c>
      <c r="G83" s="9" t="s">
        <v>80</v>
      </c>
      <c r="H83" s="9" t="s">
        <v>279</v>
      </c>
      <c r="I83" s="9" t="s">
        <v>281</v>
      </c>
      <c r="J83" s="6" t="s">
        <v>66</v>
      </c>
      <c r="K83" s="6" t="s">
        <v>66</v>
      </c>
      <c r="L83" s="6" t="s">
        <v>66</v>
      </c>
      <c r="M83" s="6"/>
    </row>
    <row r="84" spans="1:13" x14ac:dyDescent="0.3">
      <c r="A84" s="9" t="s">
        <v>27</v>
      </c>
      <c r="B84" s="9">
        <v>3</v>
      </c>
      <c r="C84" s="9" t="s">
        <v>127</v>
      </c>
      <c r="D84" s="9" t="s">
        <v>60</v>
      </c>
      <c r="E84" s="9" t="s">
        <v>282</v>
      </c>
      <c r="F84" s="9" t="s">
        <v>62</v>
      </c>
      <c r="G84" s="9" t="s">
        <v>80</v>
      </c>
      <c r="H84" s="9" t="s">
        <v>280</v>
      </c>
      <c r="I84" s="9" t="s">
        <v>283</v>
      </c>
      <c r="J84" s="6" t="s">
        <v>66</v>
      </c>
      <c r="K84" s="6" t="s">
        <v>66</v>
      </c>
      <c r="L84" s="6" t="s">
        <v>66</v>
      </c>
      <c r="M84" s="6"/>
    </row>
    <row r="85" spans="1:13" x14ac:dyDescent="0.3">
      <c r="A85" s="9" t="s">
        <v>27</v>
      </c>
      <c r="B85" s="9">
        <v>4</v>
      </c>
      <c r="C85" s="9" t="s">
        <v>134</v>
      </c>
      <c r="D85" s="9" t="s">
        <v>284</v>
      </c>
      <c r="E85" s="9" t="s">
        <v>285</v>
      </c>
      <c r="F85" s="9" t="s">
        <v>62</v>
      </c>
      <c r="G85" s="9" t="s">
        <v>80</v>
      </c>
      <c r="H85" s="9" t="s">
        <v>282</v>
      </c>
      <c r="I85" s="9" t="s">
        <v>286</v>
      </c>
      <c r="J85" s="6" t="s">
        <v>66</v>
      </c>
      <c r="K85" s="6" t="s">
        <v>66</v>
      </c>
      <c r="L85" s="6" t="s">
        <v>66</v>
      </c>
      <c r="M85" s="6"/>
    </row>
    <row r="86" spans="1:13" x14ac:dyDescent="0.3">
      <c r="A86" s="9" t="s">
        <v>27</v>
      </c>
      <c r="B86" s="9">
        <v>5</v>
      </c>
      <c r="C86" s="9" t="s">
        <v>287</v>
      </c>
      <c r="D86" s="9" t="s">
        <v>288</v>
      </c>
      <c r="E86" s="9" t="s">
        <v>285</v>
      </c>
      <c r="F86" s="9" t="s">
        <v>62</v>
      </c>
      <c r="G86" s="9" t="s">
        <v>76</v>
      </c>
      <c r="H86" s="9" t="s">
        <v>285</v>
      </c>
      <c r="I86" s="9"/>
      <c r="J86" s="6" t="s">
        <v>66</v>
      </c>
      <c r="K86" s="6" t="s">
        <v>66</v>
      </c>
      <c r="L86" s="6" t="s">
        <v>66</v>
      </c>
      <c r="M86" s="6"/>
    </row>
    <row r="87" spans="1:13" ht="15" thickBot="1" x14ac:dyDescent="0.35">
      <c r="A87" s="9" t="s">
        <v>27</v>
      </c>
      <c r="B87" s="9">
        <v>6</v>
      </c>
      <c r="C87" s="9" t="s">
        <v>289</v>
      </c>
      <c r="D87" s="9" t="s">
        <v>162</v>
      </c>
      <c r="E87" s="9" t="s">
        <v>188</v>
      </c>
      <c r="F87" s="9" t="s">
        <v>189</v>
      </c>
      <c r="G87" s="9" t="s">
        <v>190</v>
      </c>
      <c r="H87" s="9" t="s">
        <v>285</v>
      </c>
      <c r="I87" s="9"/>
      <c r="J87" s="6" t="s">
        <v>66</v>
      </c>
      <c r="K87" s="6" t="s">
        <v>66</v>
      </c>
      <c r="L87" s="6" t="s">
        <v>66</v>
      </c>
      <c r="M87" s="6"/>
    </row>
    <row r="88" spans="1:13" x14ac:dyDescent="0.3">
      <c r="A88" s="7" t="s">
        <v>29</v>
      </c>
      <c r="B88" s="7">
        <v>1</v>
      </c>
      <c r="C88" s="7" t="s">
        <v>290</v>
      </c>
      <c r="D88" s="7" t="s">
        <v>182</v>
      </c>
      <c r="E88" s="7" t="s">
        <v>291</v>
      </c>
      <c r="F88" s="7" t="s">
        <v>62</v>
      </c>
      <c r="G88" s="7" t="s">
        <v>73</v>
      </c>
      <c r="H88" s="7"/>
      <c r="I88" s="7"/>
      <c r="J88" s="8" t="s">
        <v>66</v>
      </c>
      <c r="K88" s="8" t="s">
        <v>66</v>
      </c>
      <c r="L88" s="8" t="s">
        <v>66</v>
      </c>
      <c r="M88" s="8"/>
    </row>
    <row r="89" spans="1:13" x14ac:dyDescent="0.3">
      <c r="A89" s="9" t="s">
        <v>29</v>
      </c>
      <c r="B89" s="9">
        <v>2</v>
      </c>
      <c r="C89" s="9" t="s">
        <v>183</v>
      </c>
      <c r="D89" s="9" t="s">
        <v>120</v>
      </c>
      <c r="E89" s="9" t="s">
        <v>292</v>
      </c>
      <c r="F89" s="9" t="s">
        <v>62</v>
      </c>
      <c r="G89" s="9" t="s">
        <v>80</v>
      </c>
      <c r="H89" s="9" t="s">
        <v>291</v>
      </c>
      <c r="I89" s="9" t="s">
        <v>293</v>
      </c>
      <c r="J89" s="6" t="s">
        <v>66</v>
      </c>
      <c r="K89" s="6" t="s">
        <v>66</v>
      </c>
      <c r="L89" s="6" t="s">
        <v>66</v>
      </c>
      <c r="M89" s="6"/>
    </row>
    <row r="90" spans="1:13" x14ac:dyDescent="0.3">
      <c r="A90" s="9" t="s">
        <v>29</v>
      </c>
      <c r="B90" s="9">
        <v>3</v>
      </c>
      <c r="C90" s="9" t="s">
        <v>123</v>
      </c>
      <c r="D90" s="9" t="s">
        <v>124</v>
      </c>
      <c r="E90" s="9" t="s">
        <v>294</v>
      </c>
      <c r="F90" s="9" t="s">
        <v>62</v>
      </c>
      <c r="G90" s="9" t="s">
        <v>80</v>
      </c>
      <c r="H90" s="9" t="s">
        <v>292</v>
      </c>
      <c r="I90" s="9" t="s">
        <v>295</v>
      </c>
      <c r="J90" s="6" t="s">
        <v>66</v>
      </c>
      <c r="K90" s="6" t="s">
        <v>66</v>
      </c>
      <c r="L90" s="6" t="s">
        <v>66</v>
      </c>
      <c r="M90" s="6"/>
    </row>
    <row r="91" spans="1:13" x14ac:dyDescent="0.3">
      <c r="A91" s="9" t="s">
        <v>29</v>
      </c>
      <c r="B91" s="9">
        <v>4</v>
      </c>
      <c r="C91" s="9" t="s">
        <v>127</v>
      </c>
      <c r="D91" s="9" t="s">
        <v>128</v>
      </c>
      <c r="E91" s="9" t="s">
        <v>296</v>
      </c>
      <c r="F91" s="9" t="s">
        <v>62</v>
      </c>
      <c r="G91" s="9" t="s">
        <v>80</v>
      </c>
      <c r="H91" s="9" t="s">
        <v>294</v>
      </c>
      <c r="I91" s="9" t="s">
        <v>297</v>
      </c>
      <c r="J91" s="6" t="s">
        <v>66</v>
      </c>
      <c r="K91" s="6" t="s">
        <v>66</v>
      </c>
      <c r="L91" s="6" t="s">
        <v>66</v>
      </c>
      <c r="M91" s="6"/>
    </row>
    <row r="92" spans="1:13" x14ac:dyDescent="0.3">
      <c r="A92" s="9" t="s">
        <v>29</v>
      </c>
      <c r="B92" s="9">
        <v>5</v>
      </c>
      <c r="C92" s="9" t="s">
        <v>131</v>
      </c>
      <c r="D92" s="9" t="s">
        <v>60</v>
      </c>
      <c r="E92" s="9" t="s">
        <v>298</v>
      </c>
      <c r="F92" s="9" t="s">
        <v>62</v>
      </c>
      <c r="G92" s="9" t="s">
        <v>80</v>
      </c>
      <c r="H92" s="9" t="s">
        <v>296</v>
      </c>
      <c r="I92" s="9" t="s">
        <v>299</v>
      </c>
      <c r="J92" s="6" t="s">
        <v>66</v>
      </c>
      <c r="K92" s="6" t="s">
        <v>66</v>
      </c>
      <c r="L92" s="6" t="s">
        <v>66</v>
      </c>
      <c r="M92" s="6"/>
    </row>
    <row r="93" spans="1:13" x14ac:dyDescent="0.3">
      <c r="A93" s="9" t="s">
        <v>29</v>
      </c>
      <c r="B93" s="9">
        <v>6</v>
      </c>
      <c r="C93" s="9" t="s">
        <v>134</v>
      </c>
      <c r="D93" s="9" t="s">
        <v>135</v>
      </c>
      <c r="E93" s="9" t="s">
        <v>300</v>
      </c>
      <c r="F93" s="9" t="s">
        <v>62</v>
      </c>
      <c r="G93" s="9" t="s">
        <v>80</v>
      </c>
      <c r="H93" s="9" t="s">
        <v>298</v>
      </c>
      <c r="I93" s="9" t="s">
        <v>301</v>
      </c>
      <c r="J93" s="6" t="s">
        <v>66</v>
      </c>
      <c r="K93" s="6" t="s">
        <v>66</v>
      </c>
      <c r="L93" s="6" t="s">
        <v>66</v>
      </c>
      <c r="M93" s="6"/>
    </row>
    <row r="94" spans="1:13" x14ac:dyDescent="0.3">
      <c r="A94" s="9" t="s">
        <v>29</v>
      </c>
      <c r="B94" s="9">
        <v>7</v>
      </c>
      <c r="C94" s="9" t="s">
        <v>138</v>
      </c>
      <c r="D94" s="9" t="s">
        <v>139</v>
      </c>
      <c r="E94" s="9" t="s">
        <v>302</v>
      </c>
      <c r="F94" s="9" t="s">
        <v>62</v>
      </c>
      <c r="G94" s="9" t="s">
        <v>80</v>
      </c>
      <c r="H94" s="9" t="s">
        <v>300</v>
      </c>
      <c r="I94" s="9" t="s">
        <v>303</v>
      </c>
      <c r="J94" s="6" t="s">
        <v>66</v>
      </c>
      <c r="K94" s="6" t="s">
        <v>66</v>
      </c>
      <c r="L94" s="6" t="s">
        <v>66</v>
      </c>
      <c r="M94" s="6"/>
    </row>
    <row r="95" spans="1:13" x14ac:dyDescent="0.3">
      <c r="A95" s="9" t="s">
        <v>29</v>
      </c>
      <c r="B95" s="9">
        <v>8</v>
      </c>
      <c r="C95" s="9" t="s">
        <v>142</v>
      </c>
      <c r="D95" s="9" t="s">
        <v>143</v>
      </c>
      <c r="E95" s="9" t="s">
        <v>300</v>
      </c>
      <c r="F95" s="9" t="s">
        <v>62</v>
      </c>
      <c r="G95" s="9" t="s">
        <v>89</v>
      </c>
      <c r="H95" s="9" t="s">
        <v>302</v>
      </c>
      <c r="I95" s="9" t="s">
        <v>304</v>
      </c>
      <c r="J95" s="6" t="s">
        <v>66</v>
      </c>
      <c r="K95" s="6" t="s">
        <v>66</v>
      </c>
      <c r="L95" s="6" t="s">
        <v>66</v>
      </c>
      <c r="M95" s="6"/>
    </row>
    <row r="96" spans="1:13" x14ac:dyDescent="0.3">
      <c r="A96" s="9" t="s">
        <v>29</v>
      </c>
      <c r="B96" s="9">
        <v>9</v>
      </c>
      <c r="C96" s="9" t="s">
        <v>146</v>
      </c>
      <c r="D96" s="9" t="s">
        <v>147</v>
      </c>
      <c r="E96" s="9" t="s">
        <v>302</v>
      </c>
      <c r="F96" s="9" t="s">
        <v>62</v>
      </c>
      <c r="G96" s="9" t="s">
        <v>80</v>
      </c>
      <c r="H96" s="9" t="s">
        <v>300</v>
      </c>
      <c r="I96" s="9" t="s">
        <v>303</v>
      </c>
      <c r="J96" s="6" t="s">
        <v>66</v>
      </c>
      <c r="K96" s="6" t="s">
        <v>66</v>
      </c>
      <c r="L96" s="6" t="s">
        <v>66</v>
      </c>
      <c r="M96" s="6"/>
    </row>
    <row r="97" spans="1:13" x14ac:dyDescent="0.3">
      <c r="A97" s="9" t="s">
        <v>29</v>
      </c>
      <c r="B97" s="9">
        <v>10</v>
      </c>
      <c r="C97" s="9" t="s">
        <v>150</v>
      </c>
      <c r="D97" s="9" t="s">
        <v>151</v>
      </c>
      <c r="E97" s="9" t="s">
        <v>305</v>
      </c>
      <c r="F97" s="9" t="s">
        <v>62</v>
      </c>
      <c r="G97" s="9" t="s">
        <v>80</v>
      </c>
      <c r="H97" s="9" t="s">
        <v>302</v>
      </c>
      <c r="I97" s="9" t="s">
        <v>306</v>
      </c>
      <c r="J97" s="6" t="s">
        <v>66</v>
      </c>
      <c r="K97" s="6" t="s">
        <v>66</v>
      </c>
      <c r="L97" s="6" t="s">
        <v>66</v>
      </c>
      <c r="M97" s="6"/>
    </row>
    <row r="98" spans="1:13" x14ac:dyDescent="0.3">
      <c r="A98" s="9" t="s">
        <v>29</v>
      </c>
      <c r="B98" s="9">
        <v>11</v>
      </c>
      <c r="C98" s="9" t="s">
        <v>154</v>
      </c>
      <c r="D98" s="9" t="s">
        <v>288</v>
      </c>
      <c r="E98" s="9" t="s">
        <v>307</v>
      </c>
      <c r="F98" s="9" t="s">
        <v>62</v>
      </c>
      <c r="G98" s="9" t="s">
        <v>80</v>
      </c>
      <c r="H98" s="9" t="s">
        <v>305</v>
      </c>
      <c r="I98" s="9" t="s">
        <v>308</v>
      </c>
      <c r="J98" s="6" t="s">
        <v>66</v>
      </c>
      <c r="K98" s="6" t="s">
        <v>66</v>
      </c>
      <c r="L98" s="6" t="s">
        <v>66</v>
      </c>
      <c r="M98" s="6"/>
    </row>
    <row r="99" spans="1:13" x14ac:dyDescent="0.3">
      <c r="A99" s="9" t="s">
        <v>29</v>
      </c>
      <c r="B99" s="9">
        <v>12</v>
      </c>
      <c r="C99" s="9" t="s">
        <v>289</v>
      </c>
      <c r="D99" s="9" t="s">
        <v>162</v>
      </c>
      <c r="E99" s="9" t="s">
        <v>309</v>
      </c>
      <c r="F99" s="9" t="s">
        <v>62</v>
      </c>
      <c r="G99" s="9" t="s">
        <v>89</v>
      </c>
      <c r="H99" s="9" t="s">
        <v>307</v>
      </c>
      <c r="I99" s="9" t="s">
        <v>310</v>
      </c>
      <c r="J99" s="6" t="s">
        <v>66</v>
      </c>
      <c r="K99" s="6" t="s">
        <v>66</v>
      </c>
      <c r="L99" s="6" t="s">
        <v>66</v>
      </c>
      <c r="M99" s="6"/>
    </row>
    <row r="100" spans="1:13" x14ac:dyDescent="0.3">
      <c r="A100" s="11" t="s">
        <v>348</v>
      </c>
      <c r="B100" s="7">
        <v>1</v>
      </c>
      <c r="C100" s="7" t="s">
        <v>311</v>
      </c>
      <c r="D100" s="7" t="s">
        <v>135</v>
      </c>
      <c r="E100" s="7" t="s">
        <v>312</v>
      </c>
      <c r="F100" s="7" t="s">
        <v>62</v>
      </c>
      <c r="G100" s="7" t="s">
        <v>73</v>
      </c>
      <c r="H100" s="7"/>
      <c r="I100" s="7"/>
      <c r="J100" s="8" t="s">
        <v>66</v>
      </c>
      <c r="K100" s="8" t="s">
        <v>66</v>
      </c>
      <c r="L100" s="8" t="s">
        <v>66</v>
      </c>
      <c r="M100" s="8"/>
    </row>
    <row r="101" spans="1:13" x14ac:dyDescent="0.3">
      <c r="A101" s="9" t="s">
        <v>31</v>
      </c>
      <c r="B101" s="9">
        <v>2</v>
      </c>
      <c r="C101" s="9" t="s">
        <v>138</v>
      </c>
      <c r="D101" s="9" t="s">
        <v>139</v>
      </c>
      <c r="E101" s="9" t="s">
        <v>313</v>
      </c>
      <c r="F101" s="9" t="s">
        <v>62</v>
      </c>
      <c r="G101" s="9" t="s">
        <v>80</v>
      </c>
      <c r="H101" s="9" t="s">
        <v>312</v>
      </c>
      <c r="I101" s="9" t="s">
        <v>314</v>
      </c>
      <c r="J101" s="6" t="s">
        <v>66</v>
      </c>
      <c r="K101" s="6" t="s">
        <v>66</v>
      </c>
      <c r="L101" s="6" t="s">
        <v>66</v>
      </c>
      <c r="M101" s="6"/>
    </row>
    <row r="102" spans="1:13" x14ac:dyDescent="0.3">
      <c r="A102" s="9" t="s">
        <v>31</v>
      </c>
      <c r="B102" s="9">
        <v>3</v>
      </c>
      <c r="C102" s="9" t="s">
        <v>142</v>
      </c>
      <c r="D102" s="9" t="s">
        <v>143</v>
      </c>
      <c r="E102" s="9" t="s">
        <v>315</v>
      </c>
      <c r="F102" s="9" t="s">
        <v>62</v>
      </c>
      <c r="G102" s="9" t="s">
        <v>80</v>
      </c>
      <c r="H102" s="9" t="s">
        <v>313</v>
      </c>
      <c r="I102" s="9" t="s">
        <v>316</v>
      </c>
      <c r="J102" s="6" t="s">
        <v>66</v>
      </c>
      <c r="K102" s="6" t="s">
        <v>66</v>
      </c>
      <c r="L102" s="6" t="s">
        <v>66</v>
      </c>
      <c r="M102" s="6"/>
    </row>
    <row r="103" spans="1:13" x14ac:dyDescent="0.3">
      <c r="A103" s="9" t="s">
        <v>31</v>
      </c>
      <c r="B103" s="9">
        <v>4</v>
      </c>
      <c r="C103" s="9" t="s">
        <v>146</v>
      </c>
      <c r="D103" s="9" t="s">
        <v>147</v>
      </c>
      <c r="E103" s="9" t="s">
        <v>317</v>
      </c>
      <c r="F103" s="9" t="s">
        <v>62</v>
      </c>
      <c r="G103" s="9" t="s">
        <v>80</v>
      </c>
      <c r="H103" s="9" t="s">
        <v>315</v>
      </c>
      <c r="I103" s="9" t="s">
        <v>318</v>
      </c>
      <c r="J103" s="6" t="s">
        <v>66</v>
      </c>
      <c r="K103" s="6" t="s">
        <v>66</v>
      </c>
      <c r="L103" s="6" t="s">
        <v>66</v>
      </c>
      <c r="M103" s="6"/>
    </row>
    <row r="104" spans="1:13" x14ac:dyDescent="0.3">
      <c r="A104" s="9" t="s">
        <v>31</v>
      </c>
      <c r="B104" s="9">
        <v>5</v>
      </c>
      <c r="C104" s="9" t="s">
        <v>150</v>
      </c>
      <c r="D104" s="9" t="s">
        <v>319</v>
      </c>
      <c r="E104" s="9" t="s">
        <v>320</v>
      </c>
      <c r="F104" s="9" t="s">
        <v>62</v>
      </c>
      <c r="G104" s="9" t="s">
        <v>80</v>
      </c>
      <c r="H104" s="9" t="s">
        <v>317</v>
      </c>
      <c r="I104" s="9" t="s">
        <v>321</v>
      </c>
      <c r="J104" s="6" t="s">
        <v>66</v>
      </c>
      <c r="K104" s="6" t="s">
        <v>66</v>
      </c>
      <c r="L104" s="6" t="s">
        <v>66</v>
      </c>
      <c r="M104" s="6"/>
    </row>
    <row r="105" spans="1:13" x14ac:dyDescent="0.3">
      <c r="A105" s="9" t="s">
        <v>31</v>
      </c>
      <c r="B105" s="9">
        <v>6</v>
      </c>
      <c r="C105" s="9" t="s">
        <v>322</v>
      </c>
      <c r="D105" s="9" t="s">
        <v>261</v>
      </c>
      <c r="E105" s="9" t="s">
        <v>323</v>
      </c>
      <c r="F105" s="9" t="s">
        <v>62</v>
      </c>
      <c r="G105" s="9" t="s">
        <v>80</v>
      </c>
      <c r="H105" s="9" t="s">
        <v>320</v>
      </c>
      <c r="I105" s="9" t="s">
        <v>324</v>
      </c>
      <c r="J105" s="6" t="s">
        <v>66</v>
      </c>
      <c r="K105" s="6" t="s">
        <v>66</v>
      </c>
      <c r="L105" s="6" t="s">
        <v>66</v>
      </c>
      <c r="M105" s="6"/>
    </row>
    <row r="106" spans="1:13" x14ac:dyDescent="0.3">
      <c r="A106" s="9" t="s">
        <v>31</v>
      </c>
      <c r="B106" s="9">
        <v>7</v>
      </c>
      <c r="C106" s="9" t="s">
        <v>262</v>
      </c>
      <c r="D106" s="9" t="s">
        <v>325</v>
      </c>
      <c r="E106" s="9" t="s">
        <v>326</v>
      </c>
      <c r="F106" s="9" t="s">
        <v>62</v>
      </c>
      <c r="G106" s="9" t="s">
        <v>80</v>
      </c>
      <c r="H106" s="9" t="s">
        <v>323</v>
      </c>
      <c r="I106" s="9" t="s">
        <v>327</v>
      </c>
      <c r="J106" s="6" t="s">
        <v>66</v>
      </c>
      <c r="K106" s="6" t="s">
        <v>66</v>
      </c>
      <c r="L106" s="6" t="s">
        <v>66</v>
      </c>
      <c r="M106" s="6"/>
    </row>
    <row r="107" spans="1:13" x14ac:dyDescent="0.3">
      <c r="A107" s="9" t="s">
        <v>31</v>
      </c>
      <c r="B107" s="9">
        <v>8</v>
      </c>
      <c r="C107" s="9" t="s">
        <v>328</v>
      </c>
      <c r="D107" s="9" t="s">
        <v>219</v>
      </c>
      <c r="E107" s="9" t="s">
        <v>329</v>
      </c>
      <c r="F107" s="9" t="s">
        <v>62</v>
      </c>
      <c r="G107" s="9" t="s">
        <v>80</v>
      </c>
      <c r="H107" s="9" t="s">
        <v>326</v>
      </c>
      <c r="I107" s="9" t="s">
        <v>330</v>
      </c>
      <c r="J107" s="6" t="s">
        <v>66</v>
      </c>
      <c r="K107" s="6" t="s">
        <v>66</v>
      </c>
      <c r="L107" s="6" t="s">
        <v>66</v>
      </c>
      <c r="M107" s="6"/>
    </row>
    <row r="108" spans="1:13" x14ac:dyDescent="0.3">
      <c r="A108" s="9" t="s">
        <v>31</v>
      </c>
      <c r="B108" s="9">
        <v>9</v>
      </c>
      <c r="C108" s="9" t="s">
        <v>222</v>
      </c>
      <c r="D108" s="9" t="s">
        <v>288</v>
      </c>
      <c r="E108" s="9" t="s">
        <v>331</v>
      </c>
      <c r="F108" s="9" t="s">
        <v>62</v>
      </c>
      <c r="G108" s="9" t="s">
        <v>80</v>
      </c>
      <c r="H108" s="9" t="s">
        <v>329</v>
      </c>
      <c r="I108" s="9" t="s">
        <v>332</v>
      </c>
      <c r="J108" s="6" t="s">
        <v>66</v>
      </c>
      <c r="K108" s="6" t="s">
        <v>66</v>
      </c>
      <c r="L108" s="6" t="s">
        <v>66</v>
      </c>
      <c r="M108" s="6"/>
    </row>
    <row r="109" spans="1:13" ht="15" thickBot="1" x14ac:dyDescent="0.35">
      <c r="A109" s="9" t="s">
        <v>31</v>
      </c>
      <c r="B109" s="9">
        <v>10</v>
      </c>
      <c r="C109" s="9" t="s">
        <v>289</v>
      </c>
      <c r="D109" s="9" t="s">
        <v>162</v>
      </c>
      <c r="E109" s="9" t="s">
        <v>333</v>
      </c>
      <c r="F109" s="9" t="s">
        <v>189</v>
      </c>
      <c r="G109" s="9" t="s">
        <v>190</v>
      </c>
      <c r="H109" s="9" t="s">
        <v>331</v>
      </c>
      <c r="I109" s="9"/>
      <c r="J109" s="6" t="s">
        <v>66</v>
      </c>
      <c r="K109" s="6" t="s">
        <v>66</v>
      </c>
      <c r="L109" s="6" t="s">
        <v>66</v>
      </c>
      <c r="M109" s="6"/>
    </row>
    <row r="110" spans="1:13" x14ac:dyDescent="0.3">
      <c r="A110" s="7" t="s">
        <v>33</v>
      </c>
      <c r="B110" s="7">
        <v>1</v>
      </c>
      <c r="C110" s="7" t="s">
        <v>223</v>
      </c>
      <c r="D110" s="7" t="s">
        <v>334</v>
      </c>
      <c r="E110" s="7" t="s">
        <v>188</v>
      </c>
      <c r="F110" s="7" t="s">
        <v>335</v>
      </c>
      <c r="G110" s="7" t="s">
        <v>73</v>
      </c>
      <c r="H110" s="7"/>
      <c r="I110" s="7"/>
      <c r="J110" s="8" t="s">
        <v>66</v>
      </c>
      <c r="K110" s="8" t="s">
        <v>66</v>
      </c>
      <c r="L110" s="8" t="s">
        <v>66</v>
      </c>
      <c r="M110" s="8"/>
    </row>
    <row r="111" spans="1:13" x14ac:dyDescent="0.3">
      <c r="A111" s="9" t="s">
        <v>33</v>
      </c>
      <c r="B111" s="9">
        <v>2</v>
      </c>
      <c r="C111" s="9" t="s">
        <v>336</v>
      </c>
      <c r="D111" s="9" t="s">
        <v>100</v>
      </c>
      <c r="E111" s="9" t="s">
        <v>337</v>
      </c>
      <c r="F111" s="9" t="s">
        <v>62</v>
      </c>
      <c r="G111" s="9" t="s">
        <v>338</v>
      </c>
      <c r="H111" s="9"/>
      <c r="I111" s="9"/>
      <c r="J111" s="6" t="s">
        <v>66</v>
      </c>
      <c r="K111" s="6" t="s">
        <v>66</v>
      </c>
      <c r="L111" s="6" t="s">
        <v>66</v>
      </c>
      <c r="M111" s="6"/>
    </row>
    <row r="112" spans="1:13" x14ac:dyDescent="0.3">
      <c r="A112" s="9" t="s">
        <v>33</v>
      </c>
      <c r="B112" s="9">
        <v>3</v>
      </c>
      <c r="C112" s="9" t="s">
        <v>103</v>
      </c>
      <c r="D112" s="9" t="s">
        <v>104</v>
      </c>
      <c r="E112" s="9" t="s">
        <v>339</v>
      </c>
      <c r="F112" s="9" t="s">
        <v>62</v>
      </c>
      <c r="G112" s="9" t="s">
        <v>80</v>
      </c>
      <c r="H112" s="9" t="s">
        <v>337</v>
      </c>
      <c r="I112" s="9" t="s">
        <v>340</v>
      </c>
      <c r="J112" s="6" t="s">
        <v>66</v>
      </c>
      <c r="K112" s="6" t="s">
        <v>66</v>
      </c>
      <c r="L112" s="6" t="s">
        <v>66</v>
      </c>
      <c r="M112" s="6"/>
    </row>
    <row r="113" spans="1:13" x14ac:dyDescent="0.3">
      <c r="A113" s="9" t="s">
        <v>33</v>
      </c>
      <c r="B113" s="9">
        <v>4</v>
      </c>
      <c r="C113" s="9" t="s">
        <v>107</v>
      </c>
      <c r="D113" s="9" t="s">
        <v>112</v>
      </c>
      <c r="E113" s="9" t="s">
        <v>272</v>
      </c>
      <c r="F113" s="9" t="s">
        <v>62</v>
      </c>
      <c r="G113" s="9" t="s">
        <v>80</v>
      </c>
      <c r="H113" s="9" t="s">
        <v>339</v>
      </c>
      <c r="I113" s="9" t="s">
        <v>341</v>
      </c>
      <c r="J113" s="6" t="s">
        <v>66</v>
      </c>
      <c r="K113" s="6" t="s">
        <v>66</v>
      </c>
      <c r="L113" s="6" t="s">
        <v>66</v>
      </c>
      <c r="M113" s="6"/>
    </row>
    <row r="114" spans="1:13" x14ac:dyDescent="0.3">
      <c r="A114" s="9" t="s">
        <v>33</v>
      </c>
      <c r="B114" s="9">
        <v>5</v>
      </c>
      <c r="C114" s="9" t="s">
        <v>115</v>
      </c>
      <c r="D114" s="9" t="s">
        <v>116</v>
      </c>
      <c r="E114" s="9" t="s">
        <v>342</v>
      </c>
      <c r="F114" s="9" t="s">
        <v>62</v>
      </c>
      <c r="G114" s="9" t="s">
        <v>80</v>
      </c>
      <c r="H114" s="9" t="s">
        <v>272</v>
      </c>
      <c r="I114" s="9" t="s">
        <v>343</v>
      </c>
      <c r="J114" s="6" t="s">
        <v>66</v>
      </c>
      <c r="K114" s="6" t="s">
        <v>66</v>
      </c>
      <c r="L114" s="6" t="s">
        <v>66</v>
      </c>
      <c r="M114" s="6"/>
    </row>
    <row r="115" spans="1:13" x14ac:dyDescent="0.3">
      <c r="A115" s="9" t="s">
        <v>33</v>
      </c>
      <c r="B115" s="9">
        <v>6</v>
      </c>
      <c r="C115" s="9" t="s">
        <v>119</v>
      </c>
      <c r="D115" s="9" t="s">
        <v>162</v>
      </c>
      <c r="E115" s="9" t="s">
        <v>191</v>
      </c>
      <c r="F115" s="9" t="s">
        <v>62</v>
      </c>
      <c r="G115" s="9" t="s">
        <v>80</v>
      </c>
      <c r="H115" s="9" t="s">
        <v>342</v>
      </c>
      <c r="I115" s="9" t="s">
        <v>344</v>
      </c>
      <c r="J115" s="6" t="s">
        <v>66</v>
      </c>
      <c r="K115" s="6" t="s">
        <v>66</v>
      </c>
      <c r="L115" s="6" t="s">
        <v>66</v>
      </c>
      <c r="M115" s="6"/>
    </row>
  </sheetData>
  <autoFilter ref="A1:M115" xr:uid="{00000000-0009-0000-0000-000002000000}"/>
  <phoneticPr fontId="4" type="noConversion"/>
  <dataValidations count="1">
    <dataValidation type="list" allowBlank="1" showErrorMessage="1" errorTitle="請選擇" error="只能填 ✓、✗ 或 不可核對" sqref="J2:L115" xr:uid="{00000000-0002-0000-0200-000000000000}">
      <formula1>"✓,✗,不可核對"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代號摘要</vt:lpstr>
      <vt:lpstr>說明</vt:lpstr>
      <vt:lpstr>核對表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哲嘉 梁</cp:lastModifiedBy>
  <dcterms:created xsi:type="dcterms:W3CDTF">2026-09-11T15:04:27Z</dcterms:created>
  <dcterms:modified xsi:type="dcterms:W3CDTF">2026-09-11T15:39:23Z</dcterms:modified>
</cp:coreProperties>
</file>